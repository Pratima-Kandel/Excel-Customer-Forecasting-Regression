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623"/>
  <workbookPr codeName="ThisWorkbook" defaultThemeVersion="124226"/>
  <mc:AlternateContent xmlns:mc="http://schemas.openxmlformats.org/markup-compatibility/2006">
    <mc:Choice Requires="x15">
      <x15ac:absPath xmlns:x15ac="http://schemas.microsoft.com/office/spreadsheetml/2010/11/ac" url="https://d.docs.live.net/fa0914efbc749894/Desktop/"/>
    </mc:Choice>
  </mc:AlternateContent>
  <xr:revisionPtr revIDLastSave="0" documentId="8_{FB821C6C-73FD-49FA-8172-3B73E21BAB58}" xr6:coauthVersionLast="47" xr6:coauthVersionMax="47" xr10:uidLastSave="{00000000-0000-0000-0000-000000000000}"/>
  <bookViews>
    <workbookView xWindow="-108" yWindow="-108" windowWidth="23256" windowHeight="12456" activeTab="1" xr2:uid="{00000000-000D-0000-FFFF-FFFF00000000}"/>
  </bookViews>
  <sheets>
    <sheet name="Data" sheetId="2" r:id="rId1"/>
    <sheet name="Regression Analysis" sheetId="3" r:id="rId2"/>
  </sheets>
  <definedNames>
    <definedName name="_xlnm._FilterDatabase" localSheetId="0" hidden="1">Data!$A$1:$G$1</definedName>
    <definedName name="_Regression_Int" localSheetId="0" hidden="1">1</definedName>
    <definedName name="_Regression_Out" localSheetId="0" hidden="1">Data!$X$11</definedName>
    <definedName name="_Regression_X" localSheetId="0" hidden="1">Data!$D$2:$R$255</definedName>
    <definedName name="_Regression_Y" localSheetId="0" hidden="1">Data!$G$2:$G$255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3" i="2" l="1"/>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 i="2"/>
  <c r="I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 i="2"/>
</calcChain>
</file>

<file path=xl/sharedStrings.xml><?xml version="1.0" encoding="utf-8"?>
<sst xmlns="http://schemas.openxmlformats.org/spreadsheetml/2006/main" count="1316" uniqueCount="57">
  <si>
    <t>Month</t>
  </si>
  <si>
    <t>Day of month</t>
  </si>
  <si>
    <t>Day of week</t>
  </si>
  <si>
    <t>Staff payday</t>
  </si>
  <si>
    <t>Faculty payday</t>
  </si>
  <si>
    <t>After or before holiday</t>
  </si>
  <si>
    <t>Arrivals</t>
  </si>
  <si>
    <t>Jan</t>
  </si>
  <si>
    <t>Tue</t>
  </si>
  <si>
    <t>Yes</t>
  </si>
  <si>
    <t>Wed</t>
  </si>
  <si>
    <t>No</t>
  </si>
  <si>
    <t>Thu</t>
  </si>
  <si>
    <t>Fri</t>
  </si>
  <si>
    <t>Mon</t>
  </si>
  <si>
    <t>Feb</t>
  </si>
  <si>
    <t>Mar</t>
  </si>
  <si>
    <t>Apr</t>
  </si>
  <si>
    <t>May</t>
  </si>
  <si>
    <t>Jun</t>
  </si>
  <si>
    <t>Jul</t>
  </si>
  <si>
    <t>Aug</t>
  </si>
  <si>
    <t>Sep</t>
  </si>
  <si>
    <t>Oct</t>
  </si>
  <si>
    <t>Nov</t>
  </si>
  <si>
    <t>Dec</t>
  </si>
  <si>
    <t>IsMonday</t>
  </si>
  <si>
    <t>IsTuesday</t>
  </si>
  <si>
    <t>IsWednasday</t>
  </si>
  <si>
    <t>IsThursday</t>
  </si>
  <si>
    <t>Staff Payday</t>
  </si>
  <si>
    <t>Faculty Payday</t>
  </si>
  <si>
    <t>Holiday</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</si>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</sst>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General_)"/>
  </numFmts>
  <fonts count="5" x14ac:knownFonts="1">
    <font>
      <sz val="11"/>
      <color theme="1"/>
      <name val="Calibri"/>
      <family val="2"/>
      <scheme val="minor"/>
    </font>
    <font>
      <sz val="10"/>
      <name val="Arial"/>
      <family val="2"/>
    </font>
    <font>
      <sz val="11"/>
      <name val="Calibri"/>
      <family val="2"/>
      <scheme val="minor"/>
    </font>
    <font>
      <sz val="11"/>
      <name val="Calibri"/>
      <family val="2"/>
    </font>
    <font>
      <i/>
      <sz val="11"/>
      <color theme="1"/>
      <name val="Calibri"/>
      <family val="2"/>
      <scheme val="minor"/>
    </font>
  </fonts>
  <fills count="3">
    <fill>
      <patternFill patternType="none"/>
    </fill>
    <fill>
      <patternFill patternType="gray125"/>
    </fill>
    <fill>
      <patternFill patternType="solid">
        <fgColor theme="3" tint="0.39997558519241921"/>
        <bgColor indexed="64"/>
      </patternFill>
    </fill>
  </fills>
  <borders count="3">
    <border>
      <left/>
      <right/>
      <top/>
      <bottom/>
      <diagonal/>
    </border>
    <border>
      <left/>
      <right/>
      <top/>
      <bottom style="medium">
        <color indexed="64"/>
      </bottom>
      <diagonal/>
    </border>
    <border>
      <left/>
      <right/>
      <top style="medium">
        <color indexed="64"/>
      </top>
      <bottom style="thin">
        <color indexed="64"/>
      </bottom>
      <diagonal/>
    </border>
  </borders>
  <cellStyleXfs count="3">
    <xf numFmtId="0" fontId="0" fillId="0" borderId="0"/>
    <xf numFmtId="164" fontId="1" fillId="0" borderId="0"/>
    <xf numFmtId="0" fontId="3" fillId="0" borderId="0"/>
  </cellStyleXfs>
  <cellXfs count="9">
    <xf numFmtId="0" fontId="0" fillId="0" borderId="0" xfId="0"/>
    <xf numFmtId="164" fontId="2" fillId="0" borderId="0" xfId="1" applyFont="1" applyAlignment="1">
      <alignment horizontal="right"/>
    </xf>
    <xf numFmtId="164" fontId="2" fillId="0" borderId="0" xfId="1" applyFont="1"/>
    <xf numFmtId="164" fontId="2" fillId="0" borderId="0" xfId="1" applyFont="1" applyAlignment="1">
      <alignment horizontal="center"/>
    </xf>
    <xf numFmtId="164" fontId="2" fillId="0" borderId="0" xfId="1" applyFont="1" applyAlignment="1">
      <alignment horizontal="left"/>
    </xf>
    <xf numFmtId="164" fontId="2" fillId="2" borderId="0" xfId="1" applyFont="1" applyFill="1" applyAlignment="1">
      <alignment horizontal="right"/>
    </xf>
    <xf numFmtId="0" fontId="0" fillId="0" borderId="1" xfId="0" applyBorder="1"/>
    <xf numFmtId="0" fontId="4" fillId="0" borderId="2" xfId="0" applyFont="1" applyBorder="1" applyAlignment="1">
      <alignment horizontal="center"/>
    </xf>
    <xf numFmtId="0" fontId="4" fillId="0" borderId="2" xfId="0" applyFont="1" applyBorder="1" applyAlignment="1">
      <alignment horizontal="centerContinuous"/>
    </xf>
  </cellXfs>
  <cellStyles count="3">
    <cellStyle name="Normal" xfId="0" builtinId="0" customBuiltin="1"/>
    <cellStyle name="Normal 2" xfId="1" xr:uid="{00000000-0005-0000-0000-000001000000}"/>
    <cellStyle name="Normal 3" xfId="2" xr:uid="{00000000-0005-0000-0000-00000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1"/>
            </a:solidFill>
            <a:ln>
              <a:noFill/>
            </a:ln>
            <a:effectLst/>
          </c:spPr>
          <c:invertIfNegative val="0"/>
          <c:cat>
            <c:strRef>
              <c:f>'Regression Analysis'!$A$17:$A$24</c:f>
              <c:strCache>
                <c:ptCount val="8"/>
                <c:pt idx="0">
                  <c:v>Intercept</c:v>
                </c:pt>
                <c:pt idx="1">
                  <c:v>IsMonday</c:v>
                </c:pt>
                <c:pt idx="2">
                  <c:v>IsTuesday</c:v>
                </c:pt>
                <c:pt idx="3">
                  <c:v>IsWednasday</c:v>
                </c:pt>
                <c:pt idx="4">
                  <c:v>IsThursday</c:v>
                </c:pt>
                <c:pt idx="5">
                  <c:v>Staff Payday</c:v>
                </c:pt>
                <c:pt idx="6">
                  <c:v>Faculty Payday</c:v>
                </c:pt>
                <c:pt idx="7">
                  <c:v>Holiday</c:v>
                </c:pt>
              </c:strCache>
            </c:strRef>
          </c:cat>
          <c:val>
            <c:numRef>
              <c:f>'Regression Analysis'!$B$17:$B$24</c:f>
              <c:numCache>
                <c:formatCode>General</c:formatCode>
                <c:ptCount val="8"/>
                <c:pt idx="0">
                  <c:v>1291.3392313267343</c:v>
                </c:pt>
                <c:pt idx="1">
                  <c:v>-211.11210971859259</c:v>
                </c:pt>
                <c:pt idx="2">
                  <c:v>-461.44204733789758</c:v>
                </c:pt>
                <c:pt idx="3">
                  <c:v>-479.00833650731425</c:v>
                </c:pt>
                <c:pt idx="4">
                  <c:v>-439.67211403466081</c:v>
                </c:pt>
                <c:pt idx="5">
                  <c:v>368.50051835446067</c:v>
                </c:pt>
                <c:pt idx="6">
                  <c:v>368.91629007841726</c:v>
                </c:pt>
                <c:pt idx="7">
                  <c:v>280.72762951451392</c:v>
                </c:pt>
              </c:numCache>
            </c:numRef>
          </c:val>
          <c:extLst>
            <c:ext xmlns:c16="http://schemas.microsoft.com/office/drawing/2014/chart" uri="{C3380CC4-5D6E-409C-BE32-E72D297353CC}">
              <c16:uniqueId val="{00000000-5B88-3D4B-9D6A-0B9FC58D1B0E}"/>
            </c:ext>
          </c:extLst>
        </c:ser>
        <c:dLbls>
          <c:showLegendKey val="0"/>
          <c:showVal val="0"/>
          <c:showCatName val="0"/>
          <c:showSerName val="0"/>
          <c:showPercent val="0"/>
          <c:showBubbleSize val="0"/>
        </c:dLbls>
        <c:gapWidth val="150"/>
        <c:overlap val="100"/>
        <c:axId val="1789422224"/>
        <c:axId val="1789904256"/>
      </c:barChart>
      <c:catAx>
        <c:axId val="17894222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P"/>
          </a:p>
        </c:txPr>
        <c:crossAx val="1789904256"/>
        <c:crosses val="autoZero"/>
        <c:auto val="1"/>
        <c:lblAlgn val="ctr"/>
        <c:lblOffset val="100"/>
        <c:noMultiLvlLbl val="0"/>
      </c:catAx>
      <c:valAx>
        <c:axId val="17899042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P"/>
          </a:p>
        </c:txPr>
        <c:crossAx val="17894222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P"/>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15</xdr:col>
      <xdr:colOff>393700</xdr:colOff>
      <xdr:row>1</xdr:row>
      <xdr:rowOff>0</xdr:rowOff>
    </xdr:from>
    <xdr:to>
      <xdr:col>29</xdr:col>
      <xdr:colOff>469900</xdr:colOff>
      <xdr:row>23</xdr:row>
      <xdr:rowOff>25400</xdr:rowOff>
    </xdr:to>
    <xdr:sp macro="" textlink="">
      <xdr:nvSpPr>
        <xdr:cNvPr id="3" name="TextBox 2">
          <a:extLst>
            <a:ext uri="{FF2B5EF4-FFF2-40B4-BE49-F238E27FC236}">
              <a16:creationId xmlns:a16="http://schemas.microsoft.com/office/drawing/2014/main" id="{4372C4E5-AFC7-09F5-17DD-D159ACABF2F2}"/>
            </a:ext>
          </a:extLst>
        </xdr:cNvPr>
        <xdr:cNvSpPr txBox="1"/>
      </xdr:nvSpPr>
      <xdr:spPr>
        <a:xfrm>
          <a:off x="14262100" y="190500"/>
          <a:ext cx="10388600" cy="4216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a:solidFill>
                <a:schemeClr val="dk1"/>
              </a:solidFill>
              <a:effectLst/>
              <a:latin typeface="+mn-lt"/>
              <a:ea typeface="+mn-ea"/>
              <a:cs typeface="+mn-cs"/>
            </a:rPr>
            <a:t>Overview</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The Eastland Plaza Branch of the Indiana University Credit Union is facing staffing challenges due to unpredictable customer arrival patterns. Some days have too many tellers, leading to idle time, while others have too few, resulting in long customer wait times. The branch manager, James Chilton, seeks a reliable way to forecast daily customer arrivals to better manage staffing levels.</a:t>
          </a:r>
        </a:p>
        <a:p>
          <a:endParaRPr lang="en-US" sz="1100" b="0" i="0">
            <a:solidFill>
              <a:schemeClr val="dk1"/>
            </a:solidFill>
            <a:effectLst/>
            <a:latin typeface="+mn-lt"/>
            <a:ea typeface="+mn-ea"/>
            <a:cs typeface="+mn-cs"/>
          </a:endParaRPr>
        </a:p>
        <a:p>
          <a:r>
            <a:rPr lang="en-US" sz="1100" b="1" i="0">
              <a:solidFill>
                <a:schemeClr val="dk1"/>
              </a:solidFill>
              <a:effectLst/>
              <a:latin typeface="+mn-lt"/>
              <a:ea typeface="+mn-ea"/>
              <a:cs typeface="+mn-cs"/>
            </a:rPr>
            <a:t>Objectives</a:t>
          </a:r>
          <a:endParaRPr lang="en-US" sz="1100" b="0" i="0">
            <a:solidFill>
              <a:schemeClr val="dk1"/>
            </a:solidFill>
            <a:effectLst/>
            <a:latin typeface="+mn-lt"/>
            <a:ea typeface="+mn-ea"/>
            <a:cs typeface="+mn-cs"/>
          </a:endParaRPr>
        </a:p>
        <a:p>
          <a:r>
            <a:rPr lang="en-US" sz="1100" b="0" i="0">
              <a:solidFill>
                <a:schemeClr val="dk1"/>
              </a:solidFill>
              <a:effectLst/>
              <a:latin typeface="+mn-lt"/>
              <a:ea typeface="+mn-ea"/>
              <a:cs typeface="+mn-cs"/>
            </a:rPr>
            <a:t>-Develop a </a:t>
          </a:r>
          <a:r>
            <a:rPr lang="en-US" sz="1100" b="1" i="0">
              <a:solidFill>
                <a:schemeClr val="dk1"/>
              </a:solidFill>
              <a:effectLst/>
              <a:latin typeface="+mn-lt"/>
              <a:ea typeface="+mn-ea"/>
              <a:cs typeface="+mn-cs"/>
            </a:rPr>
            <a:t>forecasting model</a:t>
          </a:r>
          <a:r>
            <a:rPr lang="en-US" sz="1100" b="0" i="0">
              <a:solidFill>
                <a:schemeClr val="dk1"/>
              </a:solidFill>
              <a:effectLst/>
              <a:latin typeface="+mn-lt"/>
              <a:ea typeface="+mn-ea"/>
              <a:cs typeface="+mn-cs"/>
            </a:rPr>
            <a:t> to predict the number of customer arrivals each day.</a:t>
          </a:r>
        </a:p>
        <a:p>
          <a:r>
            <a:rPr lang="en-US" sz="1100" b="0" i="0">
              <a:solidFill>
                <a:schemeClr val="dk1"/>
              </a:solidFill>
              <a:effectLst/>
              <a:latin typeface="+mn-lt"/>
              <a:ea typeface="+mn-ea"/>
              <a:cs typeface="+mn-cs"/>
            </a:rPr>
            <a:t>-The model will be built using historical data (including day of the week, payday indicators, and holiday proximity).</a:t>
          </a:r>
        </a:p>
        <a:p>
          <a:r>
            <a:rPr lang="en-US" sz="1100" b="0" i="0">
              <a:solidFill>
                <a:schemeClr val="dk1"/>
              </a:solidFill>
              <a:effectLst/>
              <a:latin typeface="+mn-lt"/>
              <a:ea typeface="+mn-ea"/>
              <a:cs typeface="+mn-cs"/>
            </a:rPr>
            <a:t>-Provide </a:t>
          </a:r>
          <a:r>
            <a:rPr lang="en-US" sz="1100" b="1" i="0">
              <a:solidFill>
                <a:schemeClr val="dk1"/>
              </a:solidFill>
              <a:effectLst/>
              <a:latin typeface="+mn-lt"/>
              <a:ea typeface="+mn-ea"/>
              <a:cs typeface="+mn-cs"/>
            </a:rPr>
            <a:t>recommendations</a:t>
          </a:r>
          <a:r>
            <a:rPr lang="en-US" sz="1100" b="0" i="0">
              <a:solidFill>
                <a:schemeClr val="dk1"/>
              </a:solidFill>
              <a:effectLst/>
              <a:latin typeface="+mn-lt"/>
              <a:ea typeface="+mn-ea"/>
              <a:cs typeface="+mn-cs"/>
            </a:rPr>
            <a:t> to improve teller staffing based on the forecasts.</a:t>
          </a:r>
          <a:br>
            <a:rPr lang="en-US" sz="1100" b="0" i="0">
              <a:solidFill>
                <a:schemeClr val="dk1"/>
              </a:solidFill>
              <a:effectLst/>
              <a:latin typeface="+mn-lt"/>
              <a:ea typeface="+mn-ea"/>
              <a:cs typeface="+mn-cs"/>
            </a:rPr>
          </a:br>
          <a:br>
            <a:rPr lang="en-US" sz="1100" b="0" i="0">
              <a:solidFill>
                <a:schemeClr val="dk1"/>
              </a:solidFill>
              <a:effectLst/>
              <a:latin typeface="+mn-lt"/>
              <a:ea typeface="+mn-ea"/>
              <a:cs typeface="+mn-cs"/>
            </a:rPr>
          </a:br>
          <a:r>
            <a:rPr lang="en-US" sz="1100" b="1" i="0">
              <a:solidFill>
                <a:schemeClr val="dk1"/>
              </a:solidFill>
              <a:effectLst/>
              <a:latin typeface="+mn-lt"/>
              <a:ea typeface="+mn-ea"/>
              <a:cs typeface="+mn-cs"/>
            </a:rPr>
            <a:t>You have columns:</a:t>
          </a:r>
        </a:p>
        <a:p>
          <a:r>
            <a:rPr lang="en-US" sz="1100" b="0" i="0">
              <a:solidFill>
                <a:schemeClr val="dk1"/>
              </a:solidFill>
              <a:effectLst/>
              <a:latin typeface="+mn-lt"/>
              <a:ea typeface="+mn-ea"/>
              <a:cs typeface="+mn-cs"/>
            </a:rPr>
            <a:t>Month</a:t>
          </a:r>
        </a:p>
        <a:p>
          <a:r>
            <a:rPr lang="en-US" sz="1100" b="0" i="0">
              <a:solidFill>
                <a:schemeClr val="dk1"/>
              </a:solidFill>
              <a:effectLst/>
              <a:latin typeface="+mn-lt"/>
              <a:ea typeface="+mn-ea"/>
              <a:cs typeface="+mn-cs"/>
            </a:rPr>
            <a:t>Day of month</a:t>
          </a:r>
        </a:p>
        <a:p>
          <a:r>
            <a:rPr lang="en-US" sz="1100" b="0" i="0">
              <a:solidFill>
                <a:schemeClr val="dk1"/>
              </a:solidFill>
              <a:effectLst/>
              <a:latin typeface="+mn-lt"/>
              <a:ea typeface="+mn-ea"/>
              <a:cs typeface="+mn-cs"/>
            </a:rPr>
            <a:t>Day of week</a:t>
          </a:r>
        </a:p>
        <a:p>
          <a:r>
            <a:rPr lang="en-US" sz="1100" b="0" i="0">
              <a:solidFill>
                <a:schemeClr val="dk1"/>
              </a:solidFill>
              <a:effectLst/>
              <a:latin typeface="+mn-lt"/>
              <a:ea typeface="+mn-ea"/>
              <a:cs typeface="+mn-cs"/>
            </a:rPr>
            <a:t>Staff payday (Yes/No)</a:t>
          </a:r>
        </a:p>
        <a:p>
          <a:r>
            <a:rPr lang="en-US" sz="1100" b="0" i="0">
              <a:solidFill>
                <a:schemeClr val="dk1"/>
              </a:solidFill>
              <a:effectLst/>
              <a:latin typeface="+mn-lt"/>
              <a:ea typeface="+mn-ea"/>
              <a:cs typeface="+mn-cs"/>
            </a:rPr>
            <a:t>Faculty payday (Yes/No)</a:t>
          </a:r>
        </a:p>
        <a:p>
          <a:r>
            <a:rPr lang="en-US" sz="1100" b="0" i="0">
              <a:solidFill>
                <a:schemeClr val="dk1"/>
              </a:solidFill>
              <a:effectLst/>
              <a:latin typeface="+mn-lt"/>
              <a:ea typeface="+mn-ea"/>
              <a:cs typeface="+mn-cs"/>
            </a:rPr>
            <a:t>After or before holiday (Yes/No)</a:t>
          </a:r>
        </a:p>
        <a:p>
          <a:r>
            <a:rPr lang="en-US" sz="1100" b="0" i="0">
              <a:solidFill>
                <a:schemeClr val="dk1"/>
              </a:solidFill>
              <a:effectLst/>
              <a:latin typeface="+mn-lt"/>
              <a:ea typeface="+mn-ea"/>
              <a:cs typeface="+mn-cs"/>
            </a:rPr>
            <a:t>Arrivals (the target we are predicting)</a:t>
          </a:r>
        </a:p>
        <a:p>
          <a:br>
            <a:rPr lang="en-US" sz="1100" b="0" i="0">
              <a:solidFill>
                <a:schemeClr val="dk1"/>
              </a:solidFill>
              <a:effectLst/>
              <a:latin typeface="+mn-lt"/>
              <a:ea typeface="+mn-ea"/>
              <a:cs typeface="+mn-cs"/>
            </a:rPr>
          </a:br>
          <a:br>
            <a:rPr lang="en-US" sz="1100" b="0" i="0">
              <a:solidFill>
                <a:schemeClr val="dk1"/>
              </a:solidFill>
              <a:effectLst/>
              <a:latin typeface="+mn-lt"/>
              <a:ea typeface="+mn-ea"/>
              <a:cs typeface="+mn-cs"/>
            </a:rPr>
          </a:br>
          <a:endParaRPr lang="en-US" sz="1100" b="0" i="0">
            <a:solidFill>
              <a:schemeClr val="dk1"/>
            </a:solidFill>
            <a:effectLst/>
            <a:latin typeface="+mn-lt"/>
            <a:ea typeface="+mn-ea"/>
            <a:cs typeface="+mn-cs"/>
          </a:endParaRPr>
        </a:p>
        <a:p>
          <a:endParaRPr lang="en-US" sz="1100"/>
        </a:p>
      </xdr:txBody>
    </xdr:sp>
    <xdr:clientData/>
  </xdr:twoCellAnchor>
  <xdr:oneCellAnchor>
    <xdr:from>
      <xdr:col>11</xdr:col>
      <xdr:colOff>47625</xdr:colOff>
      <xdr:row>18</xdr:row>
      <xdr:rowOff>133350</xdr:rowOff>
    </xdr:from>
    <xdr:ext cx="184731" cy="264560"/>
    <xdr:sp macro="" textlink="">
      <xdr:nvSpPr>
        <xdr:cNvPr id="4" name="TextBox 3">
          <a:extLst>
            <a:ext uri="{FF2B5EF4-FFF2-40B4-BE49-F238E27FC236}">
              <a16:creationId xmlns:a16="http://schemas.microsoft.com/office/drawing/2014/main" id="{F4A1EF33-B9F5-DACD-F510-497D52CCCA6A}"/>
            </a:ext>
          </a:extLst>
        </xdr:cNvPr>
        <xdr:cNvSpPr txBox="1"/>
      </xdr:nvSpPr>
      <xdr:spPr>
        <a:xfrm>
          <a:off x="9372600" y="3562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9</xdr:col>
      <xdr:colOff>165100</xdr:colOff>
      <xdr:row>1</xdr:row>
      <xdr:rowOff>12700</xdr:rowOff>
    </xdr:from>
    <xdr:to>
      <xdr:col>16</xdr:col>
      <xdr:colOff>381000</xdr:colOff>
      <xdr:row>24</xdr:row>
      <xdr:rowOff>45720</xdr:rowOff>
    </xdr:to>
    <xdr:sp macro="" textlink="">
      <xdr:nvSpPr>
        <xdr:cNvPr id="2" name="TextBox 1">
          <a:extLst>
            <a:ext uri="{FF2B5EF4-FFF2-40B4-BE49-F238E27FC236}">
              <a16:creationId xmlns:a16="http://schemas.microsoft.com/office/drawing/2014/main" id="{F5086E7C-96D4-9A1C-07D0-A608EB486C8B}"/>
            </a:ext>
          </a:extLst>
        </xdr:cNvPr>
        <xdr:cNvSpPr txBox="1"/>
      </xdr:nvSpPr>
      <xdr:spPr>
        <a:xfrm>
          <a:off x="7891780" y="195580"/>
          <a:ext cx="5763260" cy="42849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b="1" i="0" u="none" strike="noStrike">
              <a:solidFill>
                <a:schemeClr val="dk1"/>
              </a:solidFill>
              <a:effectLst/>
              <a:latin typeface="+mn-lt"/>
              <a:ea typeface="+mn-ea"/>
              <a:cs typeface="+mn-cs"/>
            </a:rPr>
            <a:t>Interpretation:</a:t>
          </a:r>
        </a:p>
        <a:p>
          <a:r>
            <a:rPr lang="en-GB" sz="1100" b="1" i="0" u="none" strike="noStrike">
              <a:solidFill>
                <a:schemeClr val="dk1"/>
              </a:solidFill>
              <a:effectLst/>
              <a:latin typeface="+mn-lt"/>
              <a:ea typeface="+mn-ea"/>
              <a:cs typeface="+mn-cs"/>
            </a:rPr>
            <a:t>How Accurate is the Model?</a:t>
          </a:r>
          <a:endParaRPr lang="en-GB" sz="1100" b="0" i="0" u="none" strike="noStrike">
            <a:solidFill>
              <a:schemeClr val="dk1"/>
            </a:solidFill>
            <a:effectLst/>
            <a:latin typeface="+mn-lt"/>
            <a:ea typeface="+mn-ea"/>
            <a:cs typeface="+mn-cs"/>
          </a:endParaRPr>
        </a:p>
        <a:p>
          <a:pPr lvl="1"/>
          <a:r>
            <a:rPr lang="en-GB" sz="1100" b="0" i="0" u="none" strike="noStrike">
              <a:solidFill>
                <a:schemeClr val="dk1"/>
              </a:solidFill>
              <a:effectLst/>
              <a:latin typeface="+mn-lt"/>
              <a:ea typeface="+mn-ea"/>
              <a:cs typeface="+mn-cs"/>
            </a:rPr>
            <a:t>The model does a </a:t>
          </a:r>
          <a:r>
            <a:rPr lang="en-GB" sz="1100" b="1" i="0" u="none" strike="noStrike">
              <a:solidFill>
                <a:schemeClr val="dk1"/>
              </a:solidFill>
              <a:effectLst/>
              <a:latin typeface="+mn-lt"/>
              <a:ea typeface="+mn-ea"/>
              <a:cs typeface="+mn-cs"/>
            </a:rPr>
            <a:t>great job</a:t>
          </a:r>
          <a:r>
            <a:rPr lang="en-GB" sz="1100" b="0" i="0" u="none" strike="noStrike">
              <a:solidFill>
                <a:schemeClr val="dk1"/>
              </a:solidFill>
              <a:effectLst/>
              <a:latin typeface="+mn-lt"/>
              <a:ea typeface="+mn-ea"/>
              <a:cs typeface="+mn-cs"/>
            </a:rPr>
            <a:t> of predicting customer arrivals. It explains about </a:t>
          </a:r>
          <a:r>
            <a:rPr lang="en-GB" sz="1100" b="1" i="0" u="none" strike="noStrike">
              <a:solidFill>
                <a:schemeClr val="dk1"/>
              </a:solidFill>
              <a:effectLst/>
              <a:latin typeface="+mn-lt"/>
              <a:ea typeface="+mn-ea"/>
              <a:cs typeface="+mn-cs"/>
            </a:rPr>
            <a:t>72%</a:t>
          </a:r>
          <a:r>
            <a:rPr lang="en-GB" sz="1100" b="0" i="0" u="none" strike="noStrike">
              <a:solidFill>
                <a:schemeClr val="dk1"/>
              </a:solidFill>
              <a:effectLst/>
              <a:latin typeface="+mn-lt"/>
              <a:ea typeface="+mn-ea"/>
              <a:cs typeface="+mn-cs"/>
            </a:rPr>
            <a:t> of the reasons why the number of customers changes from day to day. That's a good result!</a:t>
          </a:r>
        </a:p>
        <a:p>
          <a:r>
            <a:rPr lang="en-GB" sz="1100" b="1" i="0" u="none" strike="noStrike">
              <a:solidFill>
                <a:schemeClr val="dk1"/>
              </a:solidFill>
              <a:effectLst/>
              <a:latin typeface="+mn-lt"/>
              <a:ea typeface="+mn-ea"/>
              <a:cs typeface="+mn-cs"/>
            </a:rPr>
            <a:t>What the Coefficients Tell Us (How Days and Events Affect Arrivals)</a:t>
          </a:r>
          <a:endParaRPr lang="en-GB" sz="1100" b="0" i="0" u="none" strike="noStrike">
            <a:solidFill>
              <a:schemeClr val="dk1"/>
            </a:solidFill>
            <a:effectLst/>
            <a:latin typeface="+mn-lt"/>
            <a:ea typeface="+mn-ea"/>
            <a:cs typeface="+mn-cs"/>
          </a:endParaRPr>
        </a:p>
        <a:p>
          <a:pPr lvl="1"/>
          <a:r>
            <a:rPr lang="en-GB" sz="1100" b="1" i="0" u="none" strike="noStrike">
              <a:solidFill>
                <a:schemeClr val="dk1"/>
              </a:solidFill>
              <a:effectLst/>
              <a:latin typeface="+mn-lt"/>
              <a:ea typeface="+mn-ea"/>
              <a:cs typeface="+mn-cs"/>
            </a:rPr>
            <a:t>Friday is the baseline</a:t>
          </a:r>
          <a:r>
            <a:rPr lang="en-GB" sz="1100" b="0" i="0" u="none" strike="noStrike">
              <a:solidFill>
                <a:schemeClr val="dk1"/>
              </a:solidFill>
              <a:effectLst/>
              <a:latin typeface="+mn-lt"/>
              <a:ea typeface="+mn-ea"/>
              <a:cs typeface="+mn-cs"/>
            </a:rPr>
            <a:t>: We compare all other days to </a:t>
          </a:r>
          <a:r>
            <a:rPr lang="en-GB" sz="1100" b="1" i="0" u="none" strike="noStrike">
              <a:solidFill>
                <a:schemeClr val="dk1"/>
              </a:solidFill>
              <a:effectLst/>
              <a:latin typeface="+mn-lt"/>
              <a:ea typeface="+mn-ea"/>
              <a:cs typeface="+mn-cs"/>
            </a:rPr>
            <a:t>Friday</a:t>
          </a:r>
          <a:r>
            <a:rPr lang="en-GB" sz="1100" b="0" i="0" u="none" strike="noStrike">
              <a:solidFill>
                <a:schemeClr val="dk1"/>
              </a:solidFill>
              <a:effectLst/>
              <a:latin typeface="+mn-lt"/>
              <a:ea typeface="+mn-ea"/>
              <a:cs typeface="+mn-cs"/>
            </a:rPr>
            <a:t> because it’s our starting point.</a:t>
          </a:r>
        </a:p>
        <a:p>
          <a:pPr lvl="1"/>
          <a:r>
            <a:rPr lang="en-GB" sz="1100" b="1" i="0" u="none" strike="noStrike">
              <a:solidFill>
                <a:schemeClr val="dk1"/>
              </a:solidFill>
              <a:effectLst/>
              <a:latin typeface="+mn-lt"/>
              <a:ea typeface="+mn-ea"/>
              <a:cs typeface="+mn-cs"/>
            </a:rPr>
            <a:t>Monday</a:t>
          </a:r>
          <a:r>
            <a:rPr lang="en-GB" sz="1100" b="0" i="0" u="none" strike="noStrike">
              <a:solidFill>
                <a:schemeClr val="dk1"/>
              </a:solidFill>
              <a:effectLst/>
              <a:latin typeface="+mn-lt"/>
              <a:ea typeface="+mn-ea"/>
              <a:cs typeface="+mn-cs"/>
            </a:rPr>
            <a:t>: Mondays have about </a:t>
          </a:r>
          <a:r>
            <a:rPr lang="en-GB" sz="1100" b="1" i="0" u="none" strike="noStrike">
              <a:solidFill>
                <a:schemeClr val="dk1"/>
              </a:solidFill>
              <a:effectLst/>
              <a:latin typeface="+mn-lt"/>
              <a:ea typeface="+mn-ea"/>
              <a:cs typeface="+mn-cs"/>
            </a:rPr>
            <a:t>211 fewer</a:t>
          </a:r>
          <a:r>
            <a:rPr lang="en-GB" sz="1100" b="0" i="0" u="none" strike="noStrike">
              <a:solidFill>
                <a:schemeClr val="dk1"/>
              </a:solidFill>
              <a:effectLst/>
              <a:latin typeface="+mn-lt"/>
              <a:ea typeface="+mn-ea"/>
              <a:cs typeface="+mn-cs"/>
            </a:rPr>
            <a:t> customers than Friday.</a:t>
          </a:r>
        </a:p>
        <a:p>
          <a:pPr lvl="1"/>
          <a:r>
            <a:rPr lang="en-GB" sz="1100" b="1" i="0" u="none" strike="noStrike">
              <a:solidFill>
                <a:schemeClr val="dk1"/>
              </a:solidFill>
              <a:effectLst/>
              <a:latin typeface="+mn-lt"/>
              <a:ea typeface="+mn-ea"/>
              <a:cs typeface="+mn-cs"/>
            </a:rPr>
            <a:t>Tuesday</a:t>
          </a:r>
          <a:r>
            <a:rPr lang="en-GB" sz="1100" b="0" i="0" u="none" strike="noStrike">
              <a:solidFill>
                <a:schemeClr val="dk1"/>
              </a:solidFill>
              <a:effectLst/>
              <a:latin typeface="+mn-lt"/>
              <a:ea typeface="+mn-ea"/>
              <a:cs typeface="+mn-cs"/>
            </a:rPr>
            <a:t>: Tuesdays are the quietest, with </a:t>
          </a:r>
          <a:r>
            <a:rPr lang="en-GB" sz="1100" b="1" i="0" u="none" strike="noStrike">
              <a:solidFill>
                <a:schemeClr val="dk1"/>
              </a:solidFill>
              <a:effectLst/>
              <a:latin typeface="+mn-lt"/>
              <a:ea typeface="+mn-ea"/>
              <a:cs typeface="+mn-cs"/>
            </a:rPr>
            <a:t>461 fewer</a:t>
          </a:r>
          <a:r>
            <a:rPr lang="en-GB" sz="1100" b="0" i="0" u="none" strike="noStrike">
              <a:solidFill>
                <a:schemeClr val="dk1"/>
              </a:solidFill>
              <a:effectLst/>
              <a:latin typeface="+mn-lt"/>
              <a:ea typeface="+mn-ea"/>
              <a:cs typeface="+mn-cs"/>
            </a:rPr>
            <a:t> customers than Friday.</a:t>
          </a:r>
        </a:p>
        <a:p>
          <a:pPr lvl="1"/>
          <a:r>
            <a:rPr lang="en-GB" sz="1100" b="1" i="0" u="none" strike="noStrike">
              <a:solidFill>
                <a:schemeClr val="dk1"/>
              </a:solidFill>
              <a:effectLst/>
              <a:latin typeface="+mn-lt"/>
              <a:ea typeface="+mn-ea"/>
              <a:cs typeface="+mn-cs"/>
            </a:rPr>
            <a:t>Wednesday</a:t>
          </a:r>
          <a:r>
            <a:rPr lang="en-GB" sz="1100" b="0" i="0" u="none" strike="noStrike">
              <a:solidFill>
                <a:schemeClr val="dk1"/>
              </a:solidFill>
              <a:effectLst/>
              <a:latin typeface="+mn-lt"/>
              <a:ea typeface="+mn-ea"/>
              <a:cs typeface="+mn-cs"/>
            </a:rPr>
            <a:t>: Similar to Tuesday, Wednesday has </a:t>
          </a:r>
          <a:r>
            <a:rPr lang="en-GB" sz="1100" b="1" i="0" u="none" strike="noStrike">
              <a:solidFill>
                <a:schemeClr val="dk1"/>
              </a:solidFill>
              <a:effectLst/>
              <a:latin typeface="+mn-lt"/>
              <a:ea typeface="+mn-ea"/>
              <a:cs typeface="+mn-cs"/>
            </a:rPr>
            <a:t>479 fewer</a:t>
          </a:r>
          <a:r>
            <a:rPr lang="en-GB" sz="1100" b="0" i="0" u="none" strike="noStrike">
              <a:solidFill>
                <a:schemeClr val="dk1"/>
              </a:solidFill>
              <a:effectLst/>
              <a:latin typeface="+mn-lt"/>
              <a:ea typeface="+mn-ea"/>
              <a:cs typeface="+mn-cs"/>
            </a:rPr>
            <a:t> customers than Friday.</a:t>
          </a:r>
        </a:p>
        <a:p>
          <a:pPr lvl="1"/>
          <a:r>
            <a:rPr lang="en-GB" sz="1100" b="1" i="0" u="none" strike="noStrike">
              <a:solidFill>
                <a:schemeClr val="dk1"/>
              </a:solidFill>
              <a:effectLst/>
              <a:latin typeface="+mn-lt"/>
              <a:ea typeface="+mn-ea"/>
              <a:cs typeface="+mn-cs"/>
            </a:rPr>
            <a:t>Thursday</a:t>
          </a:r>
          <a:r>
            <a:rPr lang="en-GB" sz="1100" b="0" i="0" u="none" strike="noStrike">
              <a:solidFill>
                <a:schemeClr val="dk1"/>
              </a:solidFill>
              <a:effectLst/>
              <a:latin typeface="+mn-lt"/>
              <a:ea typeface="+mn-ea"/>
              <a:cs typeface="+mn-cs"/>
            </a:rPr>
            <a:t>: Thursdays have about </a:t>
          </a:r>
          <a:r>
            <a:rPr lang="en-GB" sz="1100" b="1" i="0" u="none" strike="noStrike">
              <a:solidFill>
                <a:schemeClr val="dk1"/>
              </a:solidFill>
              <a:effectLst/>
              <a:latin typeface="+mn-lt"/>
              <a:ea typeface="+mn-ea"/>
              <a:cs typeface="+mn-cs"/>
            </a:rPr>
            <a:t>440 fewer</a:t>
          </a:r>
          <a:r>
            <a:rPr lang="en-GB" sz="1100" b="0" i="0" u="none" strike="noStrike">
              <a:solidFill>
                <a:schemeClr val="dk1"/>
              </a:solidFill>
              <a:effectLst/>
              <a:latin typeface="+mn-lt"/>
              <a:ea typeface="+mn-ea"/>
              <a:cs typeface="+mn-cs"/>
            </a:rPr>
            <a:t> customers than Friday.</a:t>
          </a:r>
        </a:p>
        <a:p>
          <a:r>
            <a:rPr lang="en-GB" sz="1100" b="1" i="0" u="none" strike="noStrike">
              <a:solidFill>
                <a:schemeClr val="dk1"/>
              </a:solidFill>
              <a:effectLst/>
              <a:latin typeface="+mn-lt"/>
              <a:ea typeface="+mn-ea"/>
              <a:cs typeface="+mn-cs"/>
            </a:rPr>
            <a:t>Why is Friday the busiest?</a:t>
          </a:r>
          <a:r>
            <a:rPr lang="en-GB" sz="1100" b="0" i="0" u="none" strike="noStrike">
              <a:solidFill>
                <a:schemeClr val="dk1"/>
              </a:solidFill>
              <a:effectLst/>
              <a:latin typeface="+mn-lt"/>
              <a:ea typeface="+mn-ea"/>
              <a:cs typeface="+mn-cs"/>
            </a:rPr>
            <a:t> Because, based on the model, </a:t>
          </a:r>
          <a:r>
            <a:rPr lang="en-GB" sz="1100" b="1" i="0" u="none" strike="noStrike">
              <a:solidFill>
                <a:schemeClr val="dk1"/>
              </a:solidFill>
              <a:effectLst/>
              <a:latin typeface="+mn-lt"/>
              <a:ea typeface="+mn-ea"/>
              <a:cs typeface="+mn-cs"/>
            </a:rPr>
            <a:t>all the other weekdays are slower</a:t>
          </a:r>
          <a:r>
            <a:rPr lang="en-GB" sz="1100" b="0" i="0" u="none" strike="noStrike">
              <a:solidFill>
                <a:schemeClr val="dk1"/>
              </a:solidFill>
              <a:effectLst/>
              <a:latin typeface="+mn-lt"/>
              <a:ea typeface="+mn-ea"/>
              <a:cs typeface="+mn-cs"/>
            </a:rPr>
            <a:t> than Friday.</a:t>
          </a:r>
        </a:p>
        <a:p>
          <a:r>
            <a:rPr lang="en-GB" sz="1100" b="1" i="0" u="none" strike="noStrike">
              <a:solidFill>
                <a:schemeClr val="dk1"/>
              </a:solidFill>
              <a:effectLst/>
              <a:latin typeface="+mn-lt"/>
              <a:ea typeface="+mn-ea"/>
              <a:cs typeface="+mn-cs"/>
            </a:rPr>
            <a:t>Events That Bring More Customers</a:t>
          </a:r>
          <a:r>
            <a:rPr lang="en-GB" sz="1100" b="0" i="0" u="none" strike="noStrike">
              <a:solidFill>
                <a:schemeClr val="dk1"/>
              </a:solidFill>
              <a:effectLst/>
              <a:latin typeface="+mn-lt"/>
              <a:ea typeface="+mn-ea"/>
              <a:cs typeface="+mn-cs"/>
            </a:rPr>
            <a:t>:</a:t>
          </a:r>
        </a:p>
        <a:p>
          <a:pPr lvl="1"/>
          <a:r>
            <a:rPr lang="en-GB" sz="1100" b="1" i="0" u="none" strike="noStrike">
              <a:solidFill>
                <a:schemeClr val="dk1"/>
              </a:solidFill>
              <a:effectLst/>
              <a:latin typeface="+mn-lt"/>
              <a:ea typeface="+mn-ea"/>
              <a:cs typeface="+mn-cs"/>
            </a:rPr>
            <a:t>Staff Paydays</a:t>
          </a:r>
          <a:r>
            <a:rPr lang="en-GB" sz="1100" b="0" i="0" u="none" strike="noStrike">
              <a:solidFill>
                <a:schemeClr val="dk1"/>
              </a:solidFill>
              <a:effectLst/>
              <a:latin typeface="+mn-lt"/>
              <a:ea typeface="+mn-ea"/>
              <a:cs typeface="+mn-cs"/>
            </a:rPr>
            <a:t>: When it’s a staff payday, </a:t>
          </a:r>
          <a:r>
            <a:rPr lang="en-GB" sz="1100" b="1" i="0" u="none" strike="noStrike">
              <a:solidFill>
                <a:schemeClr val="dk1"/>
              </a:solidFill>
              <a:effectLst/>
              <a:latin typeface="+mn-lt"/>
              <a:ea typeface="+mn-ea"/>
              <a:cs typeface="+mn-cs"/>
            </a:rPr>
            <a:t>369 more customers</a:t>
          </a:r>
          <a:r>
            <a:rPr lang="en-GB" sz="1100" b="0" i="0" u="none" strike="noStrike">
              <a:solidFill>
                <a:schemeClr val="dk1"/>
              </a:solidFill>
              <a:effectLst/>
              <a:latin typeface="+mn-lt"/>
              <a:ea typeface="+mn-ea"/>
              <a:cs typeface="+mn-cs"/>
            </a:rPr>
            <a:t> show up. This is a </a:t>
          </a:r>
          <a:r>
            <a:rPr lang="en-GB" sz="1100" b="1" i="0" u="none" strike="noStrike">
              <a:solidFill>
                <a:schemeClr val="dk1"/>
              </a:solidFill>
              <a:effectLst/>
              <a:latin typeface="+mn-lt"/>
              <a:ea typeface="+mn-ea"/>
              <a:cs typeface="+mn-cs"/>
            </a:rPr>
            <a:t>big increase</a:t>
          </a:r>
          <a:r>
            <a:rPr lang="en-GB" sz="1100" b="0" i="0" u="none" strike="noStrike">
              <a:solidFill>
                <a:schemeClr val="dk1"/>
              </a:solidFill>
              <a:effectLst/>
              <a:latin typeface="+mn-lt"/>
              <a:ea typeface="+mn-ea"/>
              <a:cs typeface="+mn-cs"/>
            </a:rPr>
            <a:t>!</a:t>
          </a:r>
        </a:p>
        <a:p>
          <a:pPr lvl="1"/>
          <a:r>
            <a:rPr lang="en-GB" sz="1100" b="1" i="0" u="none" strike="noStrike">
              <a:solidFill>
                <a:schemeClr val="dk1"/>
              </a:solidFill>
              <a:effectLst/>
              <a:latin typeface="+mn-lt"/>
              <a:ea typeface="+mn-ea"/>
              <a:cs typeface="+mn-cs"/>
            </a:rPr>
            <a:t>Faculty Paydays</a:t>
          </a:r>
          <a:r>
            <a:rPr lang="en-GB" sz="1100" b="0" i="0" u="none" strike="noStrike">
              <a:solidFill>
                <a:schemeClr val="dk1"/>
              </a:solidFill>
              <a:effectLst/>
              <a:latin typeface="+mn-lt"/>
              <a:ea typeface="+mn-ea"/>
              <a:cs typeface="+mn-cs"/>
            </a:rPr>
            <a:t>: Similarly, when it’s a faculty payday, we get </a:t>
          </a:r>
          <a:r>
            <a:rPr lang="en-GB" sz="1100" b="1" i="0" u="none" strike="noStrike">
              <a:solidFill>
                <a:schemeClr val="dk1"/>
              </a:solidFill>
              <a:effectLst/>
              <a:latin typeface="+mn-lt"/>
              <a:ea typeface="+mn-ea"/>
              <a:cs typeface="+mn-cs"/>
            </a:rPr>
            <a:t>369 more customers</a:t>
          </a:r>
          <a:r>
            <a:rPr lang="en-GB" sz="1100" b="0" i="0" u="none" strike="noStrike">
              <a:solidFill>
                <a:schemeClr val="dk1"/>
              </a:solidFill>
              <a:effectLst/>
              <a:latin typeface="+mn-lt"/>
              <a:ea typeface="+mn-ea"/>
              <a:cs typeface="+mn-cs"/>
            </a:rPr>
            <a:t>.</a:t>
          </a:r>
        </a:p>
        <a:p>
          <a:pPr lvl="1"/>
          <a:r>
            <a:rPr lang="en-GB" sz="1100" b="1" i="0" u="none" strike="noStrike">
              <a:solidFill>
                <a:schemeClr val="dk1"/>
              </a:solidFill>
              <a:effectLst/>
              <a:latin typeface="+mn-lt"/>
              <a:ea typeface="+mn-ea"/>
              <a:cs typeface="+mn-cs"/>
            </a:rPr>
            <a:t>Holidays</a:t>
          </a:r>
          <a:r>
            <a:rPr lang="en-GB" sz="1100" b="0" i="0" u="none" strike="noStrike">
              <a:solidFill>
                <a:schemeClr val="dk1"/>
              </a:solidFill>
              <a:effectLst/>
              <a:latin typeface="+mn-lt"/>
              <a:ea typeface="+mn-ea"/>
              <a:cs typeface="+mn-cs"/>
            </a:rPr>
            <a:t>: If it’s close to a holiday (before or after), we see about </a:t>
          </a:r>
          <a:r>
            <a:rPr lang="en-GB" sz="1100" b="1" i="0" u="none" strike="noStrike">
              <a:solidFill>
                <a:schemeClr val="dk1"/>
              </a:solidFill>
              <a:effectLst/>
              <a:latin typeface="+mn-lt"/>
              <a:ea typeface="+mn-ea"/>
              <a:cs typeface="+mn-cs"/>
            </a:rPr>
            <a:t>281 more customers</a:t>
          </a:r>
          <a:r>
            <a:rPr lang="en-GB" sz="1100" b="0" i="0" u="none" strike="noStrike">
              <a:solidFill>
                <a:schemeClr val="dk1"/>
              </a:solidFill>
              <a:effectLst/>
              <a:latin typeface="+mn-lt"/>
              <a:ea typeface="+mn-ea"/>
              <a:cs typeface="+mn-cs"/>
            </a:rPr>
            <a:t>.</a:t>
          </a:r>
        </a:p>
        <a:p>
          <a:r>
            <a:rPr lang="en-GB" sz="1100" b="1" i="0" u="none" strike="noStrike">
              <a:solidFill>
                <a:schemeClr val="dk1"/>
              </a:solidFill>
              <a:effectLst/>
              <a:latin typeface="+mn-lt"/>
              <a:ea typeface="+mn-ea"/>
              <a:cs typeface="+mn-cs"/>
            </a:rPr>
            <a:t>What Does This All Mean?</a:t>
          </a:r>
          <a:endParaRPr lang="en-GB" sz="1100" b="0" i="0" u="none" strike="noStrike">
            <a:solidFill>
              <a:schemeClr val="dk1"/>
            </a:solidFill>
            <a:effectLst/>
            <a:latin typeface="+mn-lt"/>
            <a:ea typeface="+mn-ea"/>
            <a:cs typeface="+mn-cs"/>
          </a:endParaRPr>
        </a:p>
        <a:p>
          <a:pPr lvl="1"/>
          <a:r>
            <a:rPr lang="en-GB" sz="1100" b="0" i="0" u="none" strike="noStrike">
              <a:solidFill>
                <a:schemeClr val="dk1"/>
              </a:solidFill>
              <a:effectLst/>
              <a:latin typeface="+mn-lt"/>
              <a:ea typeface="+mn-ea"/>
              <a:cs typeface="+mn-cs"/>
            </a:rPr>
            <a:t>The </a:t>
          </a:r>
          <a:r>
            <a:rPr lang="en-GB" sz="1100" b="1" i="0" u="none" strike="noStrike">
              <a:solidFill>
                <a:schemeClr val="dk1"/>
              </a:solidFill>
              <a:effectLst/>
              <a:latin typeface="+mn-lt"/>
              <a:ea typeface="+mn-ea"/>
              <a:cs typeface="+mn-cs"/>
            </a:rPr>
            <a:t>days of the week</a:t>
          </a:r>
          <a:r>
            <a:rPr lang="en-GB" sz="1100" b="0" i="0" u="none" strike="noStrike">
              <a:solidFill>
                <a:schemeClr val="dk1"/>
              </a:solidFill>
              <a:effectLst/>
              <a:latin typeface="+mn-lt"/>
              <a:ea typeface="+mn-ea"/>
              <a:cs typeface="+mn-cs"/>
            </a:rPr>
            <a:t> matter: Fridays are the busiest, and Mondays to Thursdays have fewer customers.</a:t>
          </a:r>
        </a:p>
        <a:p>
          <a:pPr lvl="1"/>
          <a:r>
            <a:rPr lang="en-GB" sz="1100" b="1" i="0" u="none" strike="noStrike">
              <a:solidFill>
                <a:schemeClr val="dk1"/>
              </a:solidFill>
              <a:effectLst/>
              <a:latin typeface="+mn-lt"/>
              <a:ea typeface="+mn-ea"/>
              <a:cs typeface="+mn-cs"/>
            </a:rPr>
            <a:t>Special days</a:t>
          </a:r>
          <a:r>
            <a:rPr lang="en-GB" sz="1100" b="0" i="0" u="none" strike="noStrike">
              <a:solidFill>
                <a:schemeClr val="dk1"/>
              </a:solidFill>
              <a:effectLst/>
              <a:latin typeface="+mn-lt"/>
              <a:ea typeface="+mn-ea"/>
              <a:cs typeface="+mn-cs"/>
            </a:rPr>
            <a:t> like paydays and holidays bring </a:t>
          </a:r>
          <a:r>
            <a:rPr lang="en-GB" sz="1100" b="1" i="0" u="none" strike="noStrike">
              <a:solidFill>
                <a:schemeClr val="dk1"/>
              </a:solidFill>
              <a:effectLst/>
              <a:latin typeface="+mn-lt"/>
              <a:ea typeface="+mn-ea"/>
              <a:cs typeface="+mn-cs"/>
            </a:rPr>
            <a:t>more customers</a:t>
          </a:r>
          <a:r>
            <a:rPr lang="en-GB" sz="1100" b="0" i="0" u="none" strike="noStrike">
              <a:solidFill>
                <a:schemeClr val="dk1"/>
              </a:solidFill>
              <a:effectLst/>
              <a:latin typeface="+mn-lt"/>
              <a:ea typeface="+mn-ea"/>
              <a:cs typeface="+mn-cs"/>
            </a:rPr>
            <a:t> into the branch, so it’s important to prepare for those.</a:t>
          </a:r>
        </a:p>
        <a:p>
          <a:endParaRPr lang="en-GB" sz="1100"/>
        </a:p>
      </xdr:txBody>
    </xdr:sp>
    <xdr:clientData/>
  </xdr:twoCellAnchor>
  <xdr:twoCellAnchor>
    <xdr:from>
      <xdr:col>5</xdr:col>
      <xdr:colOff>495300</xdr:colOff>
      <xdr:row>25</xdr:row>
      <xdr:rowOff>0</xdr:rowOff>
    </xdr:from>
    <xdr:to>
      <xdr:col>14</xdr:col>
      <xdr:colOff>304800</xdr:colOff>
      <xdr:row>44</xdr:row>
      <xdr:rowOff>38100</xdr:rowOff>
    </xdr:to>
    <xdr:sp macro="" textlink="">
      <xdr:nvSpPr>
        <xdr:cNvPr id="3" name="TextBox 2">
          <a:extLst>
            <a:ext uri="{FF2B5EF4-FFF2-40B4-BE49-F238E27FC236}">
              <a16:creationId xmlns:a16="http://schemas.microsoft.com/office/drawing/2014/main" id="{13FB3644-C02E-8638-93C4-4BE84E43C29C}"/>
            </a:ext>
          </a:extLst>
        </xdr:cNvPr>
        <xdr:cNvSpPr txBox="1"/>
      </xdr:nvSpPr>
      <xdr:spPr>
        <a:xfrm>
          <a:off x="5283200" y="4838700"/>
          <a:ext cx="7467600" cy="365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sz="1100" b="0" i="0" u="none" strike="noStrike">
            <a:solidFill>
              <a:schemeClr val="dk1"/>
            </a:solidFill>
            <a:effectLst/>
            <a:latin typeface="+mn-lt"/>
            <a:ea typeface="+mn-ea"/>
            <a:cs typeface="+mn-cs"/>
          </a:endParaRPr>
        </a:p>
        <a:p>
          <a:pPr algn="ctr"/>
          <a:r>
            <a:rPr lang="en-GB" sz="1200" b="1" i="0" u="none" strike="noStrike">
              <a:solidFill>
                <a:schemeClr val="dk1"/>
              </a:solidFill>
              <a:effectLst/>
              <a:latin typeface="+mn-lt"/>
              <a:ea typeface="+mn-ea"/>
              <a:cs typeface="+mn-cs"/>
            </a:rPr>
            <a:t>Staffing Recommendations</a:t>
          </a:r>
        </a:p>
        <a:p>
          <a:r>
            <a:rPr lang="en-GB" sz="1100" b="0" i="0" u="none" strike="noStrike">
              <a:solidFill>
                <a:schemeClr val="dk1"/>
              </a:solidFill>
              <a:effectLst/>
              <a:latin typeface="+mn-lt"/>
              <a:ea typeface="+mn-ea"/>
              <a:cs typeface="+mn-cs"/>
            </a:rPr>
            <a:t>Based on the analysis of customer arrivals, here are the recommended staffing changes:</a:t>
          </a:r>
        </a:p>
        <a:p>
          <a:r>
            <a:rPr lang="en-GB" sz="1100" b="1" i="0" u="none" strike="noStrike">
              <a:solidFill>
                <a:schemeClr val="dk1"/>
              </a:solidFill>
              <a:effectLst/>
              <a:latin typeface="+mn-lt"/>
              <a:ea typeface="+mn-ea"/>
              <a:cs typeface="+mn-cs"/>
            </a:rPr>
            <a:t>More Tellers Needed on:</a:t>
          </a:r>
          <a:endParaRPr lang="en-GB" sz="1100" b="0" i="0" u="none" strike="noStrike">
            <a:solidFill>
              <a:schemeClr val="dk1"/>
            </a:solidFill>
            <a:effectLst/>
            <a:latin typeface="+mn-lt"/>
            <a:ea typeface="+mn-ea"/>
            <a:cs typeface="+mn-cs"/>
          </a:endParaRPr>
        </a:p>
        <a:p>
          <a:pPr lvl="1"/>
          <a:r>
            <a:rPr lang="en-GB" sz="1100" b="1" i="0" u="none" strike="noStrike">
              <a:solidFill>
                <a:schemeClr val="dk1"/>
              </a:solidFill>
              <a:effectLst/>
              <a:latin typeface="+mn-lt"/>
              <a:ea typeface="+mn-ea"/>
              <a:cs typeface="+mn-cs"/>
            </a:rPr>
            <a:t>Mondays</a:t>
          </a:r>
          <a:r>
            <a:rPr lang="en-GB" sz="1100" b="0" i="0" u="none" strike="noStrike">
              <a:solidFill>
                <a:schemeClr val="dk1"/>
              </a:solidFill>
              <a:effectLst/>
              <a:latin typeface="+mn-lt"/>
              <a:ea typeface="+mn-ea"/>
              <a:cs typeface="+mn-cs"/>
            </a:rPr>
            <a:t>: Mondays consistently have fewer arrivals than Fridays, but they are still one of the busier days. To handle this, more tellers should be scheduled on Mondays.</a:t>
          </a:r>
        </a:p>
        <a:p>
          <a:pPr lvl="1"/>
          <a:r>
            <a:rPr lang="en-GB" sz="1100" b="1" i="0" u="none" strike="noStrike">
              <a:solidFill>
                <a:schemeClr val="dk1"/>
              </a:solidFill>
              <a:effectLst/>
              <a:latin typeface="+mn-lt"/>
              <a:ea typeface="+mn-ea"/>
              <a:cs typeface="+mn-cs"/>
            </a:rPr>
            <a:t>Staff Paydays</a:t>
          </a:r>
          <a:r>
            <a:rPr lang="en-GB" sz="1100" b="0" i="0" u="none" strike="noStrike">
              <a:solidFill>
                <a:schemeClr val="dk1"/>
              </a:solidFill>
              <a:effectLst/>
              <a:latin typeface="+mn-lt"/>
              <a:ea typeface="+mn-ea"/>
              <a:cs typeface="+mn-cs"/>
            </a:rPr>
            <a:t>: Paydays, both for staff and faculty, bring in </a:t>
          </a:r>
          <a:r>
            <a:rPr lang="en-GB" sz="1100" b="1" i="0" u="none" strike="noStrike">
              <a:solidFill>
                <a:schemeClr val="dk1"/>
              </a:solidFill>
              <a:effectLst/>
              <a:latin typeface="+mn-lt"/>
              <a:ea typeface="+mn-ea"/>
              <a:cs typeface="+mn-cs"/>
            </a:rPr>
            <a:t>significantly more customers</a:t>
          </a:r>
          <a:r>
            <a:rPr lang="en-GB" sz="1100" b="0" i="0" u="none" strike="noStrike">
              <a:solidFill>
                <a:schemeClr val="dk1"/>
              </a:solidFill>
              <a:effectLst/>
              <a:latin typeface="+mn-lt"/>
              <a:ea typeface="+mn-ea"/>
              <a:cs typeface="+mn-cs"/>
            </a:rPr>
            <a:t>. It’s essential to have </a:t>
          </a:r>
          <a:r>
            <a:rPr lang="en-GB" sz="1100" b="1" i="0" u="none" strike="noStrike">
              <a:solidFill>
                <a:schemeClr val="dk1"/>
              </a:solidFill>
              <a:effectLst/>
              <a:latin typeface="+mn-lt"/>
              <a:ea typeface="+mn-ea"/>
              <a:cs typeface="+mn-cs"/>
            </a:rPr>
            <a:t>extra tellers</a:t>
          </a:r>
          <a:r>
            <a:rPr lang="en-GB" sz="1100" b="0" i="0" u="none" strike="noStrike">
              <a:solidFill>
                <a:schemeClr val="dk1"/>
              </a:solidFill>
              <a:effectLst/>
              <a:latin typeface="+mn-lt"/>
              <a:ea typeface="+mn-ea"/>
              <a:cs typeface="+mn-cs"/>
            </a:rPr>
            <a:t> on these days to avoid long wait times.</a:t>
          </a:r>
        </a:p>
        <a:p>
          <a:r>
            <a:rPr lang="en-GB" sz="1100" b="1" i="0" u="none" strike="noStrike">
              <a:solidFill>
                <a:schemeClr val="dk1"/>
              </a:solidFill>
              <a:effectLst/>
              <a:latin typeface="+mn-lt"/>
              <a:ea typeface="+mn-ea"/>
              <a:cs typeface="+mn-cs"/>
            </a:rPr>
            <a:t>Fewer Tellers Needed on:</a:t>
          </a:r>
          <a:endParaRPr lang="en-GB" sz="1100" b="0" i="0" u="none" strike="noStrike">
            <a:solidFill>
              <a:schemeClr val="dk1"/>
            </a:solidFill>
            <a:effectLst/>
            <a:latin typeface="+mn-lt"/>
            <a:ea typeface="+mn-ea"/>
            <a:cs typeface="+mn-cs"/>
          </a:endParaRPr>
        </a:p>
        <a:p>
          <a:pPr lvl="1"/>
          <a:r>
            <a:rPr lang="en-GB" sz="1100" b="1" i="0" u="none" strike="noStrike">
              <a:solidFill>
                <a:schemeClr val="dk1"/>
              </a:solidFill>
              <a:effectLst/>
              <a:latin typeface="+mn-lt"/>
              <a:ea typeface="+mn-ea"/>
              <a:cs typeface="+mn-cs"/>
            </a:rPr>
            <a:t>Around Holidays</a:t>
          </a:r>
          <a:r>
            <a:rPr lang="en-GB" sz="1100" b="0" i="0" u="none" strike="noStrike">
              <a:solidFill>
                <a:schemeClr val="dk1"/>
              </a:solidFill>
              <a:effectLst/>
              <a:latin typeface="+mn-lt"/>
              <a:ea typeface="+mn-ea"/>
              <a:cs typeface="+mn-cs"/>
            </a:rPr>
            <a:t>: We see </a:t>
          </a:r>
          <a:r>
            <a:rPr lang="en-GB" sz="1100" b="1" i="0" u="none" strike="noStrike">
              <a:solidFill>
                <a:schemeClr val="dk1"/>
              </a:solidFill>
              <a:effectLst/>
              <a:latin typeface="+mn-lt"/>
              <a:ea typeface="+mn-ea"/>
              <a:cs typeface="+mn-cs"/>
            </a:rPr>
            <a:t>fewer arrivals</a:t>
          </a:r>
          <a:r>
            <a:rPr lang="en-GB" sz="1100" b="0" i="0" u="none" strike="noStrike">
              <a:solidFill>
                <a:schemeClr val="dk1"/>
              </a:solidFill>
              <a:effectLst/>
              <a:latin typeface="+mn-lt"/>
              <a:ea typeface="+mn-ea"/>
              <a:cs typeface="+mn-cs"/>
            </a:rPr>
            <a:t> around holidays, so you can reduce the number of tellers during this time.</a:t>
          </a:r>
        </a:p>
        <a:p>
          <a:pPr lvl="1"/>
          <a:r>
            <a:rPr lang="en-GB" sz="1100" b="1" i="0" u="none" strike="noStrike">
              <a:solidFill>
                <a:schemeClr val="dk1"/>
              </a:solidFill>
              <a:effectLst/>
              <a:latin typeface="+mn-lt"/>
              <a:ea typeface="+mn-ea"/>
              <a:cs typeface="+mn-cs"/>
            </a:rPr>
            <a:t>Wednesdays and Thursdays</a:t>
          </a:r>
          <a:r>
            <a:rPr lang="en-GB" sz="1100" b="0" i="0" u="none" strike="noStrike">
              <a:solidFill>
                <a:schemeClr val="dk1"/>
              </a:solidFill>
              <a:effectLst/>
              <a:latin typeface="+mn-lt"/>
              <a:ea typeface="+mn-ea"/>
              <a:cs typeface="+mn-cs"/>
            </a:rPr>
            <a:t>: These days typically have </a:t>
          </a:r>
          <a:r>
            <a:rPr lang="en-GB" sz="1100" b="1" i="0" u="none" strike="noStrike">
              <a:solidFill>
                <a:schemeClr val="dk1"/>
              </a:solidFill>
              <a:effectLst/>
              <a:latin typeface="+mn-lt"/>
              <a:ea typeface="+mn-ea"/>
              <a:cs typeface="+mn-cs"/>
            </a:rPr>
            <a:t>fewer customers</a:t>
          </a:r>
          <a:r>
            <a:rPr lang="en-GB" sz="1100" b="0" i="0" u="none" strike="noStrike">
              <a:solidFill>
                <a:schemeClr val="dk1"/>
              </a:solidFill>
              <a:effectLst/>
              <a:latin typeface="+mn-lt"/>
              <a:ea typeface="+mn-ea"/>
              <a:cs typeface="+mn-cs"/>
            </a:rPr>
            <a:t> compared to other weekdays. You can consider </a:t>
          </a:r>
          <a:r>
            <a:rPr lang="en-GB" sz="1100" b="1" i="0" u="none" strike="noStrike">
              <a:solidFill>
                <a:schemeClr val="dk1"/>
              </a:solidFill>
              <a:effectLst/>
              <a:latin typeface="+mn-lt"/>
              <a:ea typeface="+mn-ea"/>
              <a:cs typeface="+mn-cs"/>
            </a:rPr>
            <a:t>reducing staffing</a:t>
          </a:r>
          <a:r>
            <a:rPr lang="en-GB" sz="1100" b="0" i="0" u="none" strike="noStrike">
              <a:solidFill>
                <a:schemeClr val="dk1"/>
              </a:solidFill>
              <a:effectLst/>
              <a:latin typeface="+mn-lt"/>
              <a:ea typeface="+mn-ea"/>
              <a:cs typeface="+mn-cs"/>
            </a:rPr>
            <a:t> on Wednesdays and Thursdays to optimize teller usage and avoid idle time.</a:t>
          </a:r>
        </a:p>
        <a:p>
          <a:r>
            <a:rPr lang="en-GB" sz="1100" b="1" i="0" u="none" strike="noStrike">
              <a:solidFill>
                <a:schemeClr val="dk1"/>
              </a:solidFill>
              <a:effectLst/>
              <a:latin typeface="+mn-lt"/>
              <a:ea typeface="+mn-ea"/>
              <a:cs typeface="+mn-cs"/>
            </a:rPr>
            <a:t>Visual Aid: Bar Chart of Predicted Arrivals</a:t>
          </a:r>
        </a:p>
        <a:p>
          <a:r>
            <a:rPr lang="en-GB" sz="1100" b="0" i="0" u="none" strike="noStrike">
              <a:solidFill>
                <a:schemeClr val="dk1"/>
              </a:solidFill>
              <a:effectLst/>
              <a:latin typeface="+mn-lt"/>
              <a:ea typeface="+mn-ea"/>
              <a:cs typeface="+mn-cs"/>
            </a:rPr>
            <a:t>A bar chart will help visualize how customer arrivals vary by day of the week. It will clearly show which days require more staffing and which days can handle fewer tellers.</a:t>
          </a:r>
        </a:p>
        <a:p>
          <a:r>
            <a:rPr lang="en-GB" sz="1100" b="1" i="0" u="none" strike="noStrike">
              <a:solidFill>
                <a:schemeClr val="dk1"/>
              </a:solidFill>
              <a:effectLst/>
              <a:latin typeface="+mn-lt"/>
              <a:ea typeface="+mn-ea"/>
              <a:cs typeface="+mn-cs"/>
            </a:rPr>
            <a:t>Flagging Days for Increased Staffing</a:t>
          </a:r>
          <a:r>
            <a:rPr lang="en-GB" sz="1100" b="0" i="0" u="none" strike="noStrike">
              <a:solidFill>
                <a:schemeClr val="dk1"/>
              </a:solidFill>
              <a:effectLst/>
              <a:latin typeface="+mn-lt"/>
              <a:ea typeface="+mn-ea"/>
              <a:cs typeface="+mn-cs"/>
            </a:rPr>
            <a:t>:</a:t>
          </a:r>
        </a:p>
        <a:p>
          <a:pPr lvl="1"/>
          <a:r>
            <a:rPr lang="en-GB" sz="1100" b="1" i="0" u="none" strike="noStrike">
              <a:solidFill>
                <a:schemeClr val="dk1"/>
              </a:solidFill>
              <a:effectLst/>
              <a:latin typeface="+mn-lt"/>
              <a:ea typeface="+mn-ea"/>
              <a:cs typeface="+mn-cs"/>
            </a:rPr>
            <a:t>Increase Staffing</a:t>
          </a:r>
          <a:r>
            <a:rPr lang="en-GB" sz="1100" b="0" i="0" u="none" strike="noStrike">
              <a:solidFill>
                <a:schemeClr val="dk1"/>
              </a:solidFill>
              <a:effectLst/>
              <a:latin typeface="+mn-lt"/>
              <a:ea typeface="+mn-ea"/>
              <a:cs typeface="+mn-cs"/>
            </a:rPr>
            <a:t>: Mondays and Paydays (both Staff and Faculty)</a:t>
          </a:r>
        </a:p>
        <a:p>
          <a:pPr lvl="1"/>
          <a:r>
            <a:rPr lang="en-GB" sz="1100" b="1" i="0" u="none" strike="noStrike">
              <a:solidFill>
                <a:schemeClr val="dk1"/>
              </a:solidFill>
              <a:effectLst/>
              <a:latin typeface="+mn-lt"/>
              <a:ea typeface="+mn-ea"/>
              <a:cs typeface="+mn-cs"/>
            </a:rPr>
            <a:t>Reduce Staffing</a:t>
          </a:r>
          <a:r>
            <a:rPr lang="en-GB" sz="1100" b="0" i="0" u="none" strike="noStrike">
              <a:solidFill>
                <a:schemeClr val="dk1"/>
              </a:solidFill>
              <a:effectLst/>
              <a:latin typeface="+mn-lt"/>
              <a:ea typeface="+mn-ea"/>
              <a:cs typeface="+mn-cs"/>
            </a:rPr>
            <a:t>: Around Holidays, Wednesdays, and Thursdays</a:t>
          </a:r>
        </a:p>
        <a:p>
          <a:endParaRPr lang="en-GB" sz="1100"/>
        </a:p>
      </xdr:txBody>
    </xdr:sp>
    <xdr:clientData/>
  </xdr:twoCellAnchor>
  <xdr:twoCellAnchor>
    <xdr:from>
      <xdr:col>0</xdr:col>
      <xdr:colOff>0</xdr:colOff>
      <xdr:row>24</xdr:row>
      <xdr:rowOff>133350</xdr:rowOff>
    </xdr:from>
    <xdr:to>
      <xdr:col>4</xdr:col>
      <xdr:colOff>800100</xdr:colOff>
      <xdr:row>39</xdr:row>
      <xdr:rowOff>19050</xdr:rowOff>
    </xdr:to>
    <xdr:graphicFrame macro="">
      <xdr:nvGraphicFramePr>
        <xdr:cNvPr id="7" name="Chart 6">
          <a:extLst>
            <a:ext uri="{FF2B5EF4-FFF2-40B4-BE49-F238E27FC236}">
              <a16:creationId xmlns:a16="http://schemas.microsoft.com/office/drawing/2014/main" id="{B1822E75-DA53-40B6-4A46-C0980AD171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syncVertical="1" syncRef="A1" transitionEvaluation="1" codeName="Sheet2"/>
  <dimension ref="A1:N255"/>
  <sheetViews>
    <sheetView topLeftCell="P1" workbookViewId="0">
      <selection activeCell="H27" sqref="H27"/>
    </sheetView>
  </sheetViews>
  <sheetFormatPr defaultColWidth="9.6640625" defaultRowHeight="14.4" x14ac:dyDescent="0.3"/>
  <cols>
    <col min="1" max="1" width="9.6640625" style="3"/>
    <col min="2" max="2" width="12.77734375" style="3" bestFit="1" customWidth="1"/>
    <col min="3" max="3" width="11.77734375" style="3" bestFit="1" customWidth="1"/>
    <col min="4" max="4" width="11.77734375" style="4" bestFit="1" customWidth="1"/>
    <col min="5" max="5" width="14.109375" style="4" bestFit="1" customWidth="1"/>
    <col min="6" max="6" width="21.6640625" style="4" bestFit="1" customWidth="1"/>
    <col min="7" max="7" width="13" style="2" customWidth="1"/>
    <col min="8" max="8" width="14.33203125" style="2" customWidth="1"/>
    <col min="9" max="9" width="13.77734375" style="2" customWidth="1"/>
    <col min="10" max="10" width="12.109375" style="2" customWidth="1"/>
    <col min="11" max="11" width="12.44140625" style="2" customWidth="1"/>
    <col min="12" max="12" width="13.33203125" style="2" customWidth="1"/>
    <col min="13" max="13" width="16.44140625" style="2" customWidth="1"/>
    <col min="14" max="257" width="9.6640625" style="2"/>
    <col min="258" max="258" width="12" style="2" bestFit="1" customWidth="1"/>
    <col min="259" max="259" width="11.109375" style="2" bestFit="1" customWidth="1"/>
    <col min="260" max="260" width="11.33203125" style="2" bestFit="1" customWidth="1"/>
    <col min="261" max="261" width="13.77734375" style="2" bestFit="1" customWidth="1"/>
    <col min="262" max="262" width="19.33203125" style="2" bestFit="1" customWidth="1"/>
    <col min="263" max="263" width="9.44140625" style="2" customWidth="1"/>
    <col min="264" max="264" width="14.33203125" style="2" customWidth="1"/>
    <col min="265" max="265" width="14.44140625" style="2" customWidth="1"/>
    <col min="266" max="513" width="9.6640625" style="2"/>
    <col min="514" max="514" width="12" style="2" bestFit="1" customWidth="1"/>
    <col min="515" max="515" width="11.109375" style="2" bestFit="1" customWidth="1"/>
    <col min="516" max="516" width="11.33203125" style="2" bestFit="1" customWidth="1"/>
    <col min="517" max="517" width="13.77734375" style="2" bestFit="1" customWidth="1"/>
    <col min="518" max="518" width="19.33203125" style="2" bestFit="1" customWidth="1"/>
    <col min="519" max="519" width="9.44140625" style="2" customWidth="1"/>
    <col min="520" max="520" width="14.33203125" style="2" customWidth="1"/>
    <col min="521" max="521" width="14.44140625" style="2" customWidth="1"/>
    <col min="522" max="769" width="9.6640625" style="2"/>
    <col min="770" max="770" width="12" style="2" bestFit="1" customWidth="1"/>
    <col min="771" max="771" width="11.109375" style="2" bestFit="1" customWidth="1"/>
    <col min="772" max="772" width="11.33203125" style="2" bestFit="1" customWidth="1"/>
    <col min="773" max="773" width="13.77734375" style="2" bestFit="1" customWidth="1"/>
    <col min="774" max="774" width="19.33203125" style="2" bestFit="1" customWidth="1"/>
    <col min="775" max="775" width="9.44140625" style="2" customWidth="1"/>
    <col min="776" max="776" width="14.33203125" style="2" customWidth="1"/>
    <col min="777" max="777" width="14.44140625" style="2" customWidth="1"/>
    <col min="778" max="1025" width="9.6640625" style="2"/>
    <col min="1026" max="1026" width="12" style="2" bestFit="1" customWidth="1"/>
    <col min="1027" max="1027" width="11.109375" style="2" bestFit="1" customWidth="1"/>
    <col min="1028" max="1028" width="11.33203125" style="2" bestFit="1" customWidth="1"/>
    <col min="1029" max="1029" width="13.77734375" style="2" bestFit="1" customWidth="1"/>
    <col min="1030" max="1030" width="19.33203125" style="2" bestFit="1" customWidth="1"/>
    <col min="1031" max="1031" width="9.44140625" style="2" customWidth="1"/>
    <col min="1032" max="1032" width="14.33203125" style="2" customWidth="1"/>
    <col min="1033" max="1033" width="14.44140625" style="2" customWidth="1"/>
    <col min="1034" max="1281" width="9.6640625" style="2"/>
    <col min="1282" max="1282" width="12" style="2" bestFit="1" customWidth="1"/>
    <col min="1283" max="1283" width="11.109375" style="2" bestFit="1" customWidth="1"/>
    <col min="1284" max="1284" width="11.33203125" style="2" bestFit="1" customWidth="1"/>
    <col min="1285" max="1285" width="13.77734375" style="2" bestFit="1" customWidth="1"/>
    <col min="1286" max="1286" width="19.33203125" style="2" bestFit="1" customWidth="1"/>
    <col min="1287" max="1287" width="9.44140625" style="2" customWidth="1"/>
    <col min="1288" max="1288" width="14.33203125" style="2" customWidth="1"/>
    <col min="1289" max="1289" width="14.44140625" style="2" customWidth="1"/>
    <col min="1290" max="1537" width="9.6640625" style="2"/>
    <col min="1538" max="1538" width="12" style="2" bestFit="1" customWidth="1"/>
    <col min="1539" max="1539" width="11.109375" style="2" bestFit="1" customWidth="1"/>
    <col min="1540" max="1540" width="11.33203125" style="2" bestFit="1" customWidth="1"/>
    <col min="1541" max="1541" width="13.77734375" style="2" bestFit="1" customWidth="1"/>
    <col min="1542" max="1542" width="19.33203125" style="2" bestFit="1" customWidth="1"/>
    <col min="1543" max="1543" width="9.44140625" style="2" customWidth="1"/>
    <col min="1544" max="1544" width="14.33203125" style="2" customWidth="1"/>
    <col min="1545" max="1545" width="14.44140625" style="2" customWidth="1"/>
    <col min="1546" max="1793" width="9.6640625" style="2"/>
    <col min="1794" max="1794" width="12" style="2" bestFit="1" customWidth="1"/>
    <col min="1795" max="1795" width="11.109375" style="2" bestFit="1" customWidth="1"/>
    <col min="1796" max="1796" width="11.33203125" style="2" bestFit="1" customWidth="1"/>
    <col min="1797" max="1797" width="13.77734375" style="2" bestFit="1" customWidth="1"/>
    <col min="1798" max="1798" width="19.33203125" style="2" bestFit="1" customWidth="1"/>
    <col min="1799" max="1799" width="9.44140625" style="2" customWidth="1"/>
    <col min="1800" max="1800" width="14.33203125" style="2" customWidth="1"/>
    <col min="1801" max="1801" width="14.44140625" style="2" customWidth="1"/>
    <col min="1802" max="2049" width="9.6640625" style="2"/>
    <col min="2050" max="2050" width="12" style="2" bestFit="1" customWidth="1"/>
    <col min="2051" max="2051" width="11.109375" style="2" bestFit="1" customWidth="1"/>
    <col min="2052" max="2052" width="11.33203125" style="2" bestFit="1" customWidth="1"/>
    <col min="2053" max="2053" width="13.77734375" style="2" bestFit="1" customWidth="1"/>
    <col min="2054" max="2054" width="19.33203125" style="2" bestFit="1" customWidth="1"/>
    <col min="2055" max="2055" width="9.44140625" style="2" customWidth="1"/>
    <col min="2056" max="2056" width="14.33203125" style="2" customWidth="1"/>
    <col min="2057" max="2057" width="14.44140625" style="2" customWidth="1"/>
    <col min="2058" max="2305" width="9.6640625" style="2"/>
    <col min="2306" max="2306" width="12" style="2" bestFit="1" customWidth="1"/>
    <col min="2307" max="2307" width="11.109375" style="2" bestFit="1" customWidth="1"/>
    <col min="2308" max="2308" width="11.33203125" style="2" bestFit="1" customWidth="1"/>
    <col min="2309" max="2309" width="13.77734375" style="2" bestFit="1" customWidth="1"/>
    <col min="2310" max="2310" width="19.33203125" style="2" bestFit="1" customWidth="1"/>
    <col min="2311" max="2311" width="9.44140625" style="2" customWidth="1"/>
    <col min="2312" max="2312" width="14.33203125" style="2" customWidth="1"/>
    <col min="2313" max="2313" width="14.44140625" style="2" customWidth="1"/>
    <col min="2314" max="2561" width="9.6640625" style="2"/>
    <col min="2562" max="2562" width="12" style="2" bestFit="1" customWidth="1"/>
    <col min="2563" max="2563" width="11.109375" style="2" bestFit="1" customWidth="1"/>
    <col min="2564" max="2564" width="11.33203125" style="2" bestFit="1" customWidth="1"/>
    <col min="2565" max="2565" width="13.77734375" style="2" bestFit="1" customWidth="1"/>
    <col min="2566" max="2566" width="19.33203125" style="2" bestFit="1" customWidth="1"/>
    <col min="2567" max="2567" width="9.44140625" style="2" customWidth="1"/>
    <col min="2568" max="2568" width="14.33203125" style="2" customWidth="1"/>
    <col min="2569" max="2569" width="14.44140625" style="2" customWidth="1"/>
    <col min="2570" max="2817" width="9.6640625" style="2"/>
    <col min="2818" max="2818" width="12" style="2" bestFit="1" customWidth="1"/>
    <col min="2819" max="2819" width="11.109375" style="2" bestFit="1" customWidth="1"/>
    <col min="2820" max="2820" width="11.33203125" style="2" bestFit="1" customWidth="1"/>
    <col min="2821" max="2821" width="13.77734375" style="2" bestFit="1" customWidth="1"/>
    <col min="2822" max="2822" width="19.33203125" style="2" bestFit="1" customWidth="1"/>
    <col min="2823" max="2823" width="9.44140625" style="2" customWidth="1"/>
    <col min="2824" max="2824" width="14.33203125" style="2" customWidth="1"/>
    <col min="2825" max="2825" width="14.44140625" style="2" customWidth="1"/>
    <col min="2826" max="3073" width="9.6640625" style="2"/>
    <col min="3074" max="3074" width="12" style="2" bestFit="1" customWidth="1"/>
    <col min="3075" max="3075" width="11.109375" style="2" bestFit="1" customWidth="1"/>
    <col min="3076" max="3076" width="11.33203125" style="2" bestFit="1" customWidth="1"/>
    <col min="3077" max="3077" width="13.77734375" style="2" bestFit="1" customWidth="1"/>
    <col min="3078" max="3078" width="19.33203125" style="2" bestFit="1" customWidth="1"/>
    <col min="3079" max="3079" width="9.44140625" style="2" customWidth="1"/>
    <col min="3080" max="3080" width="14.33203125" style="2" customWidth="1"/>
    <col min="3081" max="3081" width="14.44140625" style="2" customWidth="1"/>
    <col min="3082" max="3329" width="9.6640625" style="2"/>
    <col min="3330" max="3330" width="12" style="2" bestFit="1" customWidth="1"/>
    <col min="3331" max="3331" width="11.109375" style="2" bestFit="1" customWidth="1"/>
    <col min="3332" max="3332" width="11.33203125" style="2" bestFit="1" customWidth="1"/>
    <col min="3333" max="3333" width="13.77734375" style="2" bestFit="1" customWidth="1"/>
    <col min="3334" max="3334" width="19.33203125" style="2" bestFit="1" customWidth="1"/>
    <col min="3335" max="3335" width="9.44140625" style="2" customWidth="1"/>
    <col min="3336" max="3336" width="14.33203125" style="2" customWidth="1"/>
    <col min="3337" max="3337" width="14.44140625" style="2" customWidth="1"/>
    <col min="3338" max="3585" width="9.6640625" style="2"/>
    <col min="3586" max="3586" width="12" style="2" bestFit="1" customWidth="1"/>
    <col min="3587" max="3587" width="11.109375" style="2" bestFit="1" customWidth="1"/>
    <col min="3588" max="3588" width="11.33203125" style="2" bestFit="1" customWidth="1"/>
    <col min="3589" max="3589" width="13.77734375" style="2" bestFit="1" customWidth="1"/>
    <col min="3590" max="3590" width="19.33203125" style="2" bestFit="1" customWidth="1"/>
    <col min="3591" max="3591" width="9.44140625" style="2" customWidth="1"/>
    <col min="3592" max="3592" width="14.33203125" style="2" customWidth="1"/>
    <col min="3593" max="3593" width="14.44140625" style="2" customWidth="1"/>
    <col min="3594" max="3841" width="9.6640625" style="2"/>
    <col min="3842" max="3842" width="12" style="2" bestFit="1" customWidth="1"/>
    <col min="3843" max="3843" width="11.109375" style="2" bestFit="1" customWidth="1"/>
    <col min="3844" max="3844" width="11.33203125" style="2" bestFit="1" customWidth="1"/>
    <col min="3845" max="3845" width="13.77734375" style="2" bestFit="1" customWidth="1"/>
    <col min="3846" max="3846" width="19.33203125" style="2" bestFit="1" customWidth="1"/>
    <col min="3847" max="3847" width="9.44140625" style="2" customWidth="1"/>
    <col min="3848" max="3848" width="14.33203125" style="2" customWidth="1"/>
    <col min="3849" max="3849" width="14.44140625" style="2" customWidth="1"/>
    <col min="3850" max="4097" width="9.6640625" style="2"/>
    <col min="4098" max="4098" width="12" style="2" bestFit="1" customWidth="1"/>
    <col min="4099" max="4099" width="11.109375" style="2" bestFit="1" customWidth="1"/>
    <col min="4100" max="4100" width="11.33203125" style="2" bestFit="1" customWidth="1"/>
    <col min="4101" max="4101" width="13.77734375" style="2" bestFit="1" customWidth="1"/>
    <col min="4102" max="4102" width="19.33203125" style="2" bestFit="1" customWidth="1"/>
    <col min="4103" max="4103" width="9.44140625" style="2" customWidth="1"/>
    <col min="4104" max="4104" width="14.33203125" style="2" customWidth="1"/>
    <col min="4105" max="4105" width="14.44140625" style="2" customWidth="1"/>
    <col min="4106" max="4353" width="9.6640625" style="2"/>
    <col min="4354" max="4354" width="12" style="2" bestFit="1" customWidth="1"/>
    <col min="4355" max="4355" width="11.109375" style="2" bestFit="1" customWidth="1"/>
    <col min="4356" max="4356" width="11.33203125" style="2" bestFit="1" customWidth="1"/>
    <col min="4357" max="4357" width="13.77734375" style="2" bestFit="1" customWidth="1"/>
    <col min="4358" max="4358" width="19.33203125" style="2" bestFit="1" customWidth="1"/>
    <col min="4359" max="4359" width="9.44140625" style="2" customWidth="1"/>
    <col min="4360" max="4360" width="14.33203125" style="2" customWidth="1"/>
    <col min="4361" max="4361" width="14.44140625" style="2" customWidth="1"/>
    <col min="4362" max="4609" width="9.6640625" style="2"/>
    <col min="4610" max="4610" width="12" style="2" bestFit="1" customWidth="1"/>
    <col min="4611" max="4611" width="11.109375" style="2" bestFit="1" customWidth="1"/>
    <col min="4612" max="4612" width="11.33203125" style="2" bestFit="1" customWidth="1"/>
    <col min="4613" max="4613" width="13.77734375" style="2" bestFit="1" customWidth="1"/>
    <col min="4614" max="4614" width="19.33203125" style="2" bestFit="1" customWidth="1"/>
    <col min="4615" max="4615" width="9.44140625" style="2" customWidth="1"/>
    <col min="4616" max="4616" width="14.33203125" style="2" customWidth="1"/>
    <col min="4617" max="4617" width="14.44140625" style="2" customWidth="1"/>
    <col min="4618" max="4865" width="9.6640625" style="2"/>
    <col min="4866" max="4866" width="12" style="2" bestFit="1" customWidth="1"/>
    <col min="4867" max="4867" width="11.109375" style="2" bestFit="1" customWidth="1"/>
    <col min="4868" max="4868" width="11.33203125" style="2" bestFit="1" customWidth="1"/>
    <col min="4869" max="4869" width="13.77734375" style="2" bestFit="1" customWidth="1"/>
    <col min="4870" max="4870" width="19.33203125" style="2" bestFit="1" customWidth="1"/>
    <col min="4871" max="4871" width="9.44140625" style="2" customWidth="1"/>
    <col min="4872" max="4872" width="14.33203125" style="2" customWidth="1"/>
    <col min="4873" max="4873" width="14.44140625" style="2" customWidth="1"/>
    <col min="4874" max="5121" width="9.6640625" style="2"/>
    <col min="5122" max="5122" width="12" style="2" bestFit="1" customWidth="1"/>
    <col min="5123" max="5123" width="11.109375" style="2" bestFit="1" customWidth="1"/>
    <col min="5124" max="5124" width="11.33203125" style="2" bestFit="1" customWidth="1"/>
    <col min="5125" max="5125" width="13.77734375" style="2" bestFit="1" customWidth="1"/>
    <col min="5126" max="5126" width="19.33203125" style="2" bestFit="1" customWidth="1"/>
    <col min="5127" max="5127" width="9.44140625" style="2" customWidth="1"/>
    <col min="5128" max="5128" width="14.33203125" style="2" customWidth="1"/>
    <col min="5129" max="5129" width="14.44140625" style="2" customWidth="1"/>
    <col min="5130" max="5377" width="9.6640625" style="2"/>
    <col min="5378" max="5378" width="12" style="2" bestFit="1" customWidth="1"/>
    <col min="5379" max="5379" width="11.109375" style="2" bestFit="1" customWidth="1"/>
    <col min="5380" max="5380" width="11.33203125" style="2" bestFit="1" customWidth="1"/>
    <col min="5381" max="5381" width="13.77734375" style="2" bestFit="1" customWidth="1"/>
    <col min="5382" max="5382" width="19.33203125" style="2" bestFit="1" customWidth="1"/>
    <col min="5383" max="5383" width="9.44140625" style="2" customWidth="1"/>
    <col min="5384" max="5384" width="14.33203125" style="2" customWidth="1"/>
    <col min="5385" max="5385" width="14.44140625" style="2" customWidth="1"/>
    <col min="5386" max="5633" width="9.6640625" style="2"/>
    <col min="5634" max="5634" width="12" style="2" bestFit="1" customWidth="1"/>
    <col min="5635" max="5635" width="11.109375" style="2" bestFit="1" customWidth="1"/>
    <col min="5636" max="5636" width="11.33203125" style="2" bestFit="1" customWidth="1"/>
    <col min="5637" max="5637" width="13.77734375" style="2" bestFit="1" customWidth="1"/>
    <col min="5638" max="5638" width="19.33203125" style="2" bestFit="1" customWidth="1"/>
    <col min="5639" max="5639" width="9.44140625" style="2" customWidth="1"/>
    <col min="5640" max="5640" width="14.33203125" style="2" customWidth="1"/>
    <col min="5641" max="5641" width="14.44140625" style="2" customWidth="1"/>
    <col min="5642" max="5889" width="9.6640625" style="2"/>
    <col min="5890" max="5890" width="12" style="2" bestFit="1" customWidth="1"/>
    <col min="5891" max="5891" width="11.109375" style="2" bestFit="1" customWidth="1"/>
    <col min="5892" max="5892" width="11.33203125" style="2" bestFit="1" customWidth="1"/>
    <col min="5893" max="5893" width="13.77734375" style="2" bestFit="1" customWidth="1"/>
    <col min="5894" max="5894" width="19.33203125" style="2" bestFit="1" customWidth="1"/>
    <col min="5895" max="5895" width="9.44140625" style="2" customWidth="1"/>
    <col min="5896" max="5896" width="14.33203125" style="2" customWidth="1"/>
    <col min="5897" max="5897" width="14.44140625" style="2" customWidth="1"/>
    <col min="5898" max="6145" width="9.6640625" style="2"/>
    <col min="6146" max="6146" width="12" style="2" bestFit="1" customWidth="1"/>
    <col min="6147" max="6147" width="11.109375" style="2" bestFit="1" customWidth="1"/>
    <col min="6148" max="6148" width="11.33203125" style="2" bestFit="1" customWidth="1"/>
    <col min="6149" max="6149" width="13.77734375" style="2" bestFit="1" customWidth="1"/>
    <col min="6150" max="6150" width="19.33203125" style="2" bestFit="1" customWidth="1"/>
    <col min="6151" max="6151" width="9.44140625" style="2" customWidth="1"/>
    <col min="6152" max="6152" width="14.33203125" style="2" customWidth="1"/>
    <col min="6153" max="6153" width="14.44140625" style="2" customWidth="1"/>
    <col min="6154" max="6401" width="9.6640625" style="2"/>
    <col min="6402" max="6402" width="12" style="2" bestFit="1" customWidth="1"/>
    <col min="6403" max="6403" width="11.109375" style="2" bestFit="1" customWidth="1"/>
    <col min="6404" max="6404" width="11.33203125" style="2" bestFit="1" customWidth="1"/>
    <col min="6405" max="6405" width="13.77734375" style="2" bestFit="1" customWidth="1"/>
    <col min="6406" max="6406" width="19.33203125" style="2" bestFit="1" customWidth="1"/>
    <col min="6407" max="6407" width="9.44140625" style="2" customWidth="1"/>
    <col min="6408" max="6408" width="14.33203125" style="2" customWidth="1"/>
    <col min="6409" max="6409" width="14.44140625" style="2" customWidth="1"/>
    <col min="6410" max="6657" width="9.6640625" style="2"/>
    <col min="6658" max="6658" width="12" style="2" bestFit="1" customWidth="1"/>
    <col min="6659" max="6659" width="11.109375" style="2" bestFit="1" customWidth="1"/>
    <col min="6660" max="6660" width="11.33203125" style="2" bestFit="1" customWidth="1"/>
    <col min="6661" max="6661" width="13.77734375" style="2" bestFit="1" customWidth="1"/>
    <col min="6662" max="6662" width="19.33203125" style="2" bestFit="1" customWidth="1"/>
    <col min="6663" max="6663" width="9.44140625" style="2" customWidth="1"/>
    <col min="6664" max="6664" width="14.33203125" style="2" customWidth="1"/>
    <col min="6665" max="6665" width="14.44140625" style="2" customWidth="1"/>
    <col min="6666" max="6913" width="9.6640625" style="2"/>
    <col min="6914" max="6914" width="12" style="2" bestFit="1" customWidth="1"/>
    <col min="6915" max="6915" width="11.109375" style="2" bestFit="1" customWidth="1"/>
    <col min="6916" max="6916" width="11.33203125" style="2" bestFit="1" customWidth="1"/>
    <col min="6917" max="6917" width="13.77734375" style="2" bestFit="1" customWidth="1"/>
    <col min="6918" max="6918" width="19.33203125" style="2" bestFit="1" customWidth="1"/>
    <col min="6919" max="6919" width="9.44140625" style="2" customWidth="1"/>
    <col min="6920" max="6920" width="14.33203125" style="2" customWidth="1"/>
    <col min="6921" max="6921" width="14.44140625" style="2" customWidth="1"/>
    <col min="6922" max="7169" width="9.6640625" style="2"/>
    <col min="7170" max="7170" width="12" style="2" bestFit="1" customWidth="1"/>
    <col min="7171" max="7171" width="11.109375" style="2" bestFit="1" customWidth="1"/>
    <col min="7172" max="7172" width="11.33203125" style="2" bestFit="1" customWidth="1"/>
    <col min="7173" max="7173" width="13.77734375" style="2" bestFit="1" customWidth="1"/>
    <col min="7174" max="7174" width="19.33203125" style="2" bestFit="1" customWidth="1"/>
    <col min="7175" max="7175" width="9.44140625" style="2" customWidth="1"/>
    <col min="7176" max="7176" width="14.33203125" style="2" customWidth="1"/>
    <col min="7177" max="7177" width="14.44140625" style="2" customWidth="1"/>
    <col min="7178" max="7425" width="9.6640625" style="2"/>
    <col min="7426" max="7426" width="12" style="2" bestFit="1" customWidth="1"/>
    <col min="7427" max="7427" width="11.109375" style="2" bestFit="1" customWidth="1"/>
    <col min="7428" max="7428" width="11.33203125" style="2" bestFit="1" customWidth="1"/>
    <col min="7429" max="7429" width="13.77734375" style="2" bestFit="1" customWidth="1"/>
    <col min="7430" max="7430" width="19.33203125" style="2" bestFit="1" customWidth="1"/>
    <col min="7431" max="7431" width="9.44140625" style="2" customWidth="1"/>
    <col min="7432" max="7432" width="14.33203125" style="2" customWidth="1"/>
    <col min="7433" max="7433" width="14.44140625" style="2" customWidth="1"/>
    <col min="7434" max="7681" width="9.6640625" style="2"/>
    <col min="7682" max="7682" width="12" style="2" bestFit="1" customWidth="1"/>
    <col min="7683" max="7683" width="11.109375" style="2" bestFit="1" customWidth="1"/>
    <col min="7684" max="7684" width="11.33203125" style="2" bestFit="1" customWidth="1"/>
    <col min="7685" max="7685" width="13.77734375" style="2" bestFit="1" customWidth="1"/>
    <col min="7686" max="7686" width="19.33203125" style="2" bestFit="1" customWidth="1"/>
    <col min="7687" max="7687" width="9.44140625" style="2" customWidth="1"/>
    <col min="7688" max="7688" width="14.33203125" style="2" customWidth="1"/>
    <col min="7689" max="7689" width="14.44140625" style="2" customWidth="1"/>
    <col min="7690" max="7937" width="9.6640625" style="2"/>
    <col min="7938" max="7938" width="12" style="2" bestFit="1" customWidth="1"/>
    <col min="7939" max="7939" width="11.109375" style="2" bestFit="1" customWidth="1"/>
    <col min="7940" max="7940" width="11.33203125" style="2" bestFit="1" customWidth="1"/>
    <col min="7941" max="7941" width="13.77734375" style="2" bestFit="1" customWidth="1"/>
    <col min="7942" max="7942" width="19.33203125" style="2" bestFit="1" customWidth="1"/>
    <col min="7943" max="7943" width="9.44140625" style="2" customWidth="1"/>
    <col min="7944" max="7944" width="14.33203125" style="2" customWidth="1"/>
    <col min="7945" max="7945" width="14.44140625" style="2" customWidth="1"/>
    <col min="7946" max="8193" width="9.6640625" style="2"/>
    <col min="8194" max="8194" width="12" style="2" bestFit="1" customWidth="1"/>
    <col min="8195" max="8195" width="11.109375" style="2" bestFit="1" customWidth="1"/>
    <col min="8196" max="8196" width="11.33203125" style="2" bestFit="1" customWidth="1"/>
    <col min="8197" max="8197" width="13.77734375" style="2" bestFit="1" customWidth="1"/>
    <col min="8198" max="8198" width="19.33203125" style="2" bestFit="1" customWidth="1"/>
    <col min="8199" max="8199" width="9.44140625" style="2" customWidth="1"/>
    <col min="8200" max="8200" width="14.33203125" style="2" customWidth="1"/>
    <col min="8201" max="8201" width="14.44140625" style="2" customWidth="1"/>
    <col min="8202" max="8449" width="9.6640625" style="2"/>
    <col min="8450" max="8450" width="12" style="2" bestFit="1" customWidth="1"/>
    <col min="8451" max="8451" width="11.109375" style="2" bestFit="1" customWidth="1"/>
    <col min="8452" max="8452" width="11.33203125" style="2" bestFit="1" customWidth="1"/>
    <col min="8453" max="8453" width="13.77734375" style="2" bestFit="1" customWidth="1"/>
    <col min="8454" max="8454" width="19.33203125" style="2" bestFit="1" customWidth="1"/>
    <col min="8455" max="8455" width="9.44140625" style="2" customWidth="1"/>
    <col min="8456" max="8456" width="14.33203125" style="2" customWidth="1"/>
    <col min="8457" max="8457" width="14.44140625" style="2" customWidth="1"/>
    <col min="8458" max="8705" width="9.6640625" style="2"/>
    <col min="8706" max="8706" width="12" style="2" bestFit="1" customWidth="1"/>
    <col min="8707" max="8707" width="11.109375" style="2" bestFit="1" customWidth="1"/>
    <col min="8708" max="8708" width="11.33203125" style="2" bestFit="1" customWidth="1"/>
    <col min="8709" max="8709" width="13.77734375" style="2" bestFit="1" customWidth="1"/>
    <col min="8710" max="8710" width="19.33203125" style="2" bestFit="1" customWidth="1"/>
    <col min="8711" max="8711" width="9.44140625" style="2" customWidth="1"/>
    <col min="8712" max="8712" width="14.33203125" style="2" customWidth="1"/>
    <col min="8713" max="8713" width="14.44140625" style="2" customWidth="1"/>
    <col min="8714" max="8961" width="9.6640625" style="2"/>
    <col min="8962" max="8962" width="12" style="2" bestFit="1" customWidth="1"/>
    <col min="8963" max="8963" width="11.109375" style="2" bestFit="1" customWidth="1"/>
    <col min="8964" max="8964" width="11.33203125" style="2" bestFit="1" customWidth="1"/>
    <col min="8965" max="8965" width="13.77734375" style="2" bestFit="1" customWidth="1"/>
    <col min="8966" max="8966" width="19.33203125" style="2" bestFit="1" customWidth="1"/>
    <col min="8967" max="8967" width="9.44140625" style="2" customWidth="1"/>
    <col min="8968" max="8968" width="14.33203125" style="2" customWidth="1"/>
    <col min="8969" max="8969" width="14.44140625" style="2" customWidth="1"/>
    <col min="8970" max="9217" width="9.6640625" style="2"/>
    <col min="9218" max="9218" width="12" style="2" bestFit="1" customWidth="1"/>
    <col min="9219" max="9219" width="11.109375" style="2" bestFit="1" customWidth="1"/>
    <col min="9220" max="9220" width="11.33203125" style="2" bestFit="1" customWidth="1"/>
    <col min="9221" max="9221" width="13.77734375" style="2" bestFit="1" customWidth="1"/>
    <col min="9222" max="9222" width="19.33203125" style="2" bestFit="1" customWidth="1"/>
    <col min="9223" max="9223" width="9.44140625" style="2" customWidth="1"/>
    <col min="9224" max="9224" width="14.33203125" style="2" customWidth="1"/>
    <col min="9225" max="9225" width="14.44140625" style="2" customWidth="1"/>
    <col min="9226" max="9473" width="9.6640625" style="2"/>
    <col min="9474" max="9474" width="12" style="2" bestFit="1" customWidth="1"/>
    <col min="9475" max="9475" width="11.109375" style="2" bestFit="1" customWidth="1"/>
    <col min="9476" max="9476" width="11.33203125" style="2" bestFit="1" customWidth="1"/>
    <col min="9477" max="9477" width="13.77734375" style="2" bestFit="1" customWidth="1"/>
    <col min="9478" max="9478" width="19.33203125" style="2" bestFit="1" customWidth="1"/>
    <col min="9479" max="9479" width="9.44140625" style="2" customWidth="1"/>
    <col min="9480" max="9480" width="14.33203125" style="2" customWidth="1"/>
    <col min="9481" max="9481" width="14.44140625" style="2" customWidth="1"/>
    <col min="9482" max="9729" width="9.6640625" style="2"/>
    <col min="9730" max="9730" width="12" style="2" bestFit="1" customWidth="1"/>
    <col min="9731" max="9731" width="11.109375" style="2" bestFit="1" customWidth="1"/>
    <col min="9732" max="9732" width="11.33203125" style="2" bestFit="1" customWidth="1"/>
    <col min="9733" max="9733" width="13.77734375" style="2" bestFit="1" customWidth="1"/>
    <col min="9734" max="9734" width="19.33203125" style="2" bestFit="1" customWidth="1"/>
    <col min="9735" max="9735" width="9.44140625" style="2" customWidth="1"/>
    <col min="9736" max="9736" width="14.33203125" style="2" customWidth="1"/>
    <col min="9737" max="9737" width="14.44140625" style="2" customWidth="1"/>
    <col min="9738" max="9985" width="9.6640625" style="2"/>
    <col min="9986" max="9986" width="12" style="2" bestFit="1" customWidth="1"/>
    <col min="9987" max="9987" width="11.109375" style="2" bestFit="1" customWidth="1"/>
    <col min="9988" max="9988" width="11.33203125" style="2" bestFit="1" customWidth="1"/>
    <col min="9989" max="9989" width="13.77734375" style="2" bestFit="1" customWidth="1"/>
    <col min="9990" max="9990" width="19.33203125" style="2" bestFit="1" customWidth="1"/>
    <col min="9991" max="9991" width="9.44140625" style="2" customWidth="1"/>
    <col min="9992" max="9992" width="14.33203125" style="2" customWidth="1"/>
    <col min="9993" max="9993" width="14.44140625" style="2" customWidth="1"/>
    <col min="9994" max="10241" width="9.6640625" style="2"/>
    <col min="10242" max="10242" width="12" style="2" bestFit="1" customWidth="1"/>
    <col min="10243" max="10243" width="11.109375" style="2" bestFit="1" customWidth="1"/>
    <col min="10244" max="10244" width="11.33203125" style="2" bestFit="1" customWidth="1"/>
    <col min="10245" max="10245" width="13.77734375" style="2" bestFit="1" customWidth="1"/>
    <col min="10246" max="10246" width="19.33203125" style="2" bestFit="1" customWidth="1"/>
    <col min="10247" max="10247" width="9.44140625" style="2" customWidth="1"/>
    <col min="10248" max="10248" width="14.33203125" style="2" customWidth="1"/>
    <col min="10249" max="10249" width="14.44140625" style="2" customWidth="1"/>
    <col min="10250" max="10497" width="9.6640625" style="2"/>
    <col min="10498" max="10498" width="12" style="2" bestFit="1" customWidth="1"/>
    <col min="10499" max="10499" width="11.109375" style="2" bestFit="1" customWidth="1"/>
    <col min="10500" max="10500" width="11.33203125" style="2" bestFit="1" customWidth="1"/>
    <col min="10501" max="10501" width="13.77734375" style="2" bestFit="1" customWidth="1"/>
    <col min="10502" max="10502" width="19.33203125" style="2" bestFit="1" customWidth="1"/>
    <col min="10503" max="10503" width="9.44140625" style="2" customWidth="1"/>
    <col min="10504" max="10504" width="14.33203125" style="2" customWidth="1"/>
    <col min="10505" max="10505" width="14.44140625" style="2" customWidth="1"/>
    <col min="10506" max="10753" width="9.6640625" style="2"/>
    <col min="10754" max="10754" width="12" style="2" bestFit="1" customWidth="1"/>
    <col min="10755" max="10755" width="11.109375" style="2" bestFit="1" customWidth="1"/>
    <col min="10756" max="10756" width="11.33203125" style="2" bestFit="1" customWidth="1"/>
    <col min="10757" max="10757" width="13.77734375" style="2" bestFit="1" customWidth="1"/>
    <col min="10758" max="10758" width="19.33203125" style="2" bestFit="1" customWidth="1"/>
    <col min="10759" max="10759" width="9.44140625" style="2" customWidth="1"/>
    <col min="10760" max="10760" width="14.33203125" style="2" customWidth="1"/>
    <col min="10761" max="10761" width="14.44140625" style="2" customWidth="1"/>
    <col min="10762" max="11009" width="9.6640625" style="2"/>
    <col min="11010" max="11010" width="12" style="2" bestFit="1" customWidth="1"/>
    <col min="11011" max="11011" width="11.109375" style="2" bestFit="1" customWidth="1"/>
    <col min="11012" max="11012" width="11.33203125" style="2" bestFit="1" customWidth="1"/>
    <col min="11013" max="11013" width="13.77734375" style="2" bestFit="1" customWidth="1"/>
    <col min="11014" max="11014" width="19.33203125" style="2" bestFit="1" customWidth="1"/>
    <col min="11015" max="11015" width="9.44140625" style="2" customWidth="1"/>
    <col min="11016" max="11016" width="14.33203125" style="2" customWidth="1"/>
    <col min="11017" max="11017" width="14.44140625" style="2" customWidth="1"/>
    <col min="11018" max="11265" width="9.6640625" style="2"/>
    <col min="11266" max="11266" width="12" style="2" bestFit="1" customWidth="1"/>
    <col min="11267" max="11267" width="11.109375" style="2" bestFit="1" customWidth="1"/>
    <col min="11268" max="11268" width="11.33203125" style="2" bestFit="1" customWidth="1"/>
    <col min="11269" max="11269" width="13.77734375" style="2" bestFit="1" customWidth="1"/>
    <col min="11270" max="11270" width="19.33203125" style="2" bestFit="1" customWidth="1"/>
    <col min="11271" max="11271" width="9.44140625" style="2" customWidth="1"/>
    <col min="11272" max="11272" width="14.33203125" style="2" customWidth="1"/>
    <col min="11273" max="11273" width="14.44140625" style="2" customWidth="1"/>
    <col min="11274" max="11521" width="9.6640625" style="2"/>
    <col min="11522" max="11522" width="12" style="2" bestFit="1" customWidth="1"/>
    <col min="11523" max="11523" width="11.109375" style="2" bestFit="1" customWidth="1"/>
    <col min="11524" max="11524" width="11.33203125" style="2" bestFit="1" customWidth="1"/>
    <col min="11525" max="11525" width="13.77734375" style="2" bestFit="1" customWidth="1"/>
    <col min="11526" max="11526" width="19.33203125" style="2" bestFit="1" customWidth="1"/>
    <col min="11527" max="11527" width="9.44140625" style="2" customWidth="1"/>
    <col min="11528" max="11528" width="14.33203125" style="2" customWidth="1"/>
    <col min="11529" max="11529" width="14.44140625" style="2" customWidth="1"/>
    <col min="11530" max="11777" width="9.6640625" style="2"/>
    <col min="11778" max="11778" width="12" style="2" bestFit="1" customWidth="1"/>
    <col min="11779" max="11779" width="11.109375" style="2" bestFit="1" customWidth="1"/>
    <col min="11780" max="11780" width="11.33203125" style="2" bestFit="1" customWidth="1"/>
    <col min="11781" max="11781" width="13.77734375" style="2" bestFit="1" customWidth="1"/>
    <col min="11782" max="11782" width="19.33203125" style="2" bestFit="1" customWidth="1"/>
    <col min="11783" max="11783" width="9.44140625" style="2" customWidth="1"/>
    <col min="11784" max="11784" width="14.33203125" style="2" customWidth="1"/>
    <col min="11785" max="11785" width="14.44140625" style="2" customWidth="1"/>
    <col min="11786" max="12033" width="9.6640625" style="2"/>
    <col min="12034" max="12034" width="12" style="2" bestFit="1" customWidth="1"/>
    <col min="12035" max="12035" width="11.109375" style="2" bestFit="1" customWidth="1"/>
    <col min="12036" max="12036" width="11.33203125" style="2" bestFit="1" customWidth="1"/>
    <col min="12037" max="12037" width="13.77734375" style="2" bestFit="1" customWidth="1"/>
    <col min="12038" max="12038" width="19.33203125" style="2" bestFit="1" customWidth="1"/>
    <col min="12039" max="12039" width="9.44140625" style="2" customWidth="1"/>
    <col min="12040" max="12040" width="14.33203125" style="2" customWidth="1"/>
    <col min="12041" max="12041" width="14.44140625" style="2" customWidth="1"/>
    <col min="12042" max="12289" width="9.6640625" style="2"/>
    <col min="12290" max="12290" width="12" style="2" bestFit="1" customWidth="1"/>
    <col min="12291" max="12291" width="11.109375" style="2" bestFit="1" customWidth="1"/>
    <col min="12292" max="12292" width="11.33203125" style="2" bestFit="1" customWidth="1"/>
    <col min="12293" max="12293" width="13.77734375" style="2" bestFit="1" customWidth="1"/>
    <col min="12294" max="12294" width="19.33203125" style="2" bestFit="1" customWidth="1"/>
    <col min="12295" max="12295" width="9.44140625" style="2" customWidth="1"/>
    <col min="12296" max="12296" width="14.33203125" style="2" customWidth="1"/>
    <col min="12297" max="12297" width="14.44140625" style="2" customWidth="1"/>
    <col min="12298" max="12545" width="9.6640625" style="2"/>
    <col min="12546" max="12546" width="12" style="2" bestFit="1" customWidth="1"/>
    <col min="12547" max="12547" width="11.109375" style="2" bestFit="1" customWidth="1"/>
    <col min="12548" max="12548" width="11.33203125" style="2" bestFit="1" customWidth="1"/>
    <col min="12549" max="12549" width="13.77734375" style="2" bestFit="1" customWidth="1"/>
    <col min="12550" max="12550" width="19.33203125" style="2" bestFit="1" customWidth="1"/>
    <col min="12551" max="12551" width="9.44140625" style="2" customWidth="1"/>
    <col min="12552" max="12552" width="14.33203125" style="2" customWidth="1"/>
    <col min="12553" max="12553" width="14.44140625" style="2" customWidth="1"/>
    <col min="12554" max="12801" width="9.6640625" style="2"/>
    <col min="12802" max="12802" width="12" style="2" bestFit="1" customWidth="1"/>
    <col min="12803" max="12803" width="11.109375" style="2" bestFit="1" customWidth="1"/>
    <col min="12804" max="12804" width="11.33203125" style="2" bestFit="1" customWidth="1"/>
    <col min="12805" max="12805" width="13.77734375" style="2" bestFit="1" customWidth="1"/>
    <col min="12806" max="12806" width="19.33203125" style="2" bestFit="1" customWidth="1"/>
    <col min="12807" max="12807" width="9.44140625" style="2" customWidth="1"/>
    <col min="12808" max="12808" width="14.33203125" style="2" customWidth="1"/>
    <col min="12809" max="12809" width="14.44140625" style="2" customWidth="1"/>
    <col min="12810" max="13057" width="9.6640625" style="2"/>
    <col min="13058" max="13058" width="12" style="2" bestFit="1" customWidth="1"/>
    <col min="13059" max="13059" width="11.109375" style="2" bestFit="1" customWidth="1"/>
    <col min="13060" max="13060" width="11.33203125" style="2" bestFit="1" customWidth="1"/>
    <col min="13061" max="13061" width="13.77734375" style="2" bestFit="1" customWidth="1"/>
    <col min="13062" max="13062" width="19.33203125" style="2" bestFit="1" customWidth="1"/>
    <col min="13063" max="13063" width="9.44140625" style="2" customWidth="1"/>
    <col min="13064" max="13064" width="14.33203125" style="2" customWidth="1"/>
    <col min="13065" max="13065" width="14.44140625" style="2" customWidth="1"/>
    <col min="13066" max="13313" width="9.6640625" style="2"/>
    <col min="13314" max="13314" width="12" style="2" bestFit="1" customWidth="1"/>
    <col min="13315" max="13315" width="11.109375" style="2" bestFit="1" customWidth="1"/>
    <col min="13316" max="13316" width="11.33203125" style="2" bestFit="1" customWidth="1"/>
    <col min="13317" max="13317" width="13.77734375" style="2" bestFit="1" customWidth="1"/>
    <col min="13318" max="13318" width="19.33203125" style="2" bestFit="1" customWidth="1"/>
    <col min="13319" max="13319" width="9.44140625" style="2" customWidth="1"/>
    <col min="13320" max="13320" width="14.33203125" style="2" customWidth="1"/>
    <col min="13321" max="13321" width="14.44140625" style="2" customWidth="1"/>
    <col min="13322" max="13569" width="9.6640625" style="2"/>
    <col min="13570" max="13570" width="12" style="2" bestFit="1" customWidth="1"/>
    <col min="13571" max="13571" width="11.109375" style="2" bestFit="1" customWidth="1"/>
    <col min="13572" max="13572" width="11.33203125" style="2" bestFit="1" customWidth="1"/>
    <col min="13573" max="13573" width="13.77734375" style="2" bestFit="1" customWidth="1"/>
    <col min="13574" max="13574" width="19.33203125" style="2" bestFit="1" customWidth="1"/>
    <col min="13575" max="13575" width="9.44140625" style="2" customWidth="1"/>
    <col min="13576" max="13576" width="14.33203125" style="2" customWidth="1"/>
    <col min="13577" max="13577" width="14.44140625" style="2" customWidth="1"/>
    <col min="13578" max="13825" width="9.6640625" style="2"/>
    <col min="13826" max="13826" width="12" style="2" bestFit="1" customWidth="1"/>
    <col min="13827" max="13827" width="11.109375" style="2" bestFit="1" customWidth="1"/>
    <col min="13828" max="13828" width="11.33203125" style="2" bestFit="1" customWidth="1"/>
    <col min="13829" max="13829" width="13.77734375" style="2" bestFit="1" customWidth="1"/>
    <col min="13830" max="13830" width="19.33203125" style="2" bestFit="1" customWidth="1"/>
    <col min="13831" max="13831" width="9.44140625" style="2" customWidth="1"/>
    <col min="13832" max="13832" width="14.33203125" style="2" customWidth="1"/>
    <col min="13833" max="13833" width="14.44140625" style="2" customWidth="1"/>
    <col min="13834" max="14081" width="9.6640625" style="2"/>
    <col min="14082" max="14082" width="12" style="2" bestFit="1" customWidth="1"/>
    <col min="14083" max="14083" width="11.109375" style="2" bestFit="1" customWidth="1"/>
    <col min="14084" max="14084" width="11.33203125" style="2" bestFit="1" customWidth="1"/>
    <col min="14085" max="14085" width="13.77734375" style="2" bestFit="1" customWidth="1"/>
    <col min="14086" max="14086" width="19.33203125" style="2" bestFit="1" customWidth="1"/>
    <col min="14087" max="14087" width="9.44140625" style="2" customWidth="1"/>
    <col min="14088" max="14088" width="14.33203125" style="2" customWidth="1"/>
    <col min="14089" max="14089" width="14.44140625" style="2" customWidth="1"/>
    <col min="14090" max="14337" width="9.6640625" style="2"/>
    <col min="14338" max="14338" width="12" style="2" bestFit="1" customWidth="1"/>
    <col min="14339" max="14339" width="11.109375" style="2" bestFit="1" customWidth="1"/>
    <col min="14340" max="14340" width="11.33203125" style="2" bestFit="1" customWidth="1"/>
    <col min="14341" max="14341" width="13.77734375" style="2" bestFit="1" customWidth="1"/>
    <col min="14342" max="14342" width="19.33203125" style="2" bestFit="1" customWidth="1"/>
    <col min="14343" max="14343" width="9.44140625" style="2" customWidth="1"/>
    <col min="14344" max="14344" width="14.33203125" style="2" customWidth="1"/>
    <col min="14345" max="14345" width="14.44140625" style="2" customWidth="1"/>
    <col min="14346" max="14593" width="9.6640625" style="2"/>
    <col min="14594" max="14594" width="12" style="2" bestFit="1" customWidth="1"/>
    <col min="14595" max="14595" width="11.109375" style="2" bestFit="1" customWidth="1"/>
    <col min="14596" max="14596" width="11.33203125" style="2" bestFit="1" customWidth="1"/>
    <col min="14597" max="14597" width="13.77734375" style="2" bestFit="1" customWidth="1"/>
    <col min="14598" max="14598" width="19.33203125" style="2" bestFit="1" customWidth="1"/>
    <col min="14599" max="14599" width="9.44140625" style="2" customWidth="1"/>
    <col min="14600" max="14600" width="14.33203125" style="2" customWidth="1"/>
    <col min="14601" max="14601" width="14.44140625" style="2" customWidth="1"/>
    <col min="14602" max="14849" width="9.6640625" style="2"/>
    <col min="14850" max="14850" width="12" style="2" bestFit="1" customWidth="1"/>
    <col min="14851" max="14851" width="11.109375" style="2" bestFit="1" customWidth="1"/>
    <col min="14852" max="14852" width="11.33203125" style="2" bestFit="1" customWidth="1"/>
    <col min="14853" max="14853" width="13.77734375" style="2" bestFit="1" customWidth="1"/>
    <col min="14854" max="14854" width="19.33203125" style="2" bestFit="1" customWidth="1"/>
    <col min="14855" max="14855" width="9.44140625" style="2" customWidth="1"/>
    <col min="14856" max="14856" width="14.33203125" style="2" customWidth="1"/>
    <col min="14857" max="14857" width="14.44140625" style="2" customWidth="1"/>
    <col min="14858" max="15105" width="9.6640625" style="2"/>
    <col min="15106" max="15106" width="12" style="2" bestFit="1" customWidth="1"/>
    <col min="15107" max="15107" width="11.109375" style="2" bestFit="1" customWidth="1"/>
    <col min="15108" max="15108" width="11.33203125" style="2" bestFit="1" customWidth="1"/>
    <col min="15109" max="15109" width="13.77734375" style="2" bestFit="1" customWidth="1"/>
    <col min="15110" max="15110" width="19.33203125" style="2" bestFit="1" customWidth="1"/>
    <col min="15111" max="15111" width="9.44140625" style="2" customWidth="1"/>
    <col min="15112" max="15112" width="14.33203125" style="2" customWidth="1"/>
    <col min="15113" max="15113" width="14.44140625" style="2" customWidth="1"/>
    <col min="15114" max="15361" width="9.6640625" style="2"/>
    <col min="15362" max="15362" width="12" style="2" bestFit="1" customWidth="1"/>
    <col min="15363" max="15363" width="11.109375" style="2" bestFit="1" customWidth="1"/>
    <col min="15364" max="15364" width="11.33203125" style="2" bestFit="1" customWidth="1"/>
    <col min="15365" max="15365" width="13.77734375" style="2" bestFit="1" customWidth="1"/>
    <col min="15366" max="15366" width="19.33203125" style="2" bestFit="1" customWidth="1"/>
    <col min="15367" max="15367" width="9.44140625" style="2" customWidth="1"/>
    <col min="15368" max="15368" width="14.33203125" style="2" customWidth="1"/>
    <col min="15369" max="15369" width="14.44140625" style="2" customWidth="1"/>
    <col min="15370" max="15617" width="9.6640625" style="2"/>
    <col min="15618" max="15618" width="12" style="2" bestFit="1" customWidth="1"/>
    <col min="15619" max="15619" width="11.109375" style="2" bestFit="1" customWidth="1"/>
    <col min="15620" max="15620" width="11.33203125" style="2" bestFit="1" customWidth="1"/>
    <col min="15621" max="15621" width="13.77734375" style="2" bestFit="1" customWidth="1"/>
    <col min="15622" max="15622" width="19.33203125" style="2" bestFit="1" customWidth="1"/>
    <col min="15623" max="15623" width="9.44140625" style="2" customWidth="1"/>
    <col min="15624" max="15624" width="14.33203125" style="2" customWidth="1"/>
    <col min="15625" max="15625" width="14.44140625" style="2" customWidth="1"/>
    <col min="15626" max="15873" width="9.6640625" style="2"/>
    <col min="15874" max="15874" width="12" style="2" bestFit="1" customWidth="1"/>
    <col min="15875" max="15875" width="11.109375" style="2" bestFit="1" customWidth="1"/>
    <col min="15876" max="15876" width="11.33203125" style="2" bestFit="1" customWidth="1"/>
    <col min="15877" max="15877" width="13.77734375" style="2" bestFit="1" customWidth="1"/>
    <col min="15878" max="15878" width="19.33203125" style="2" bestFit="1" customWidth="1"/>
    <col min="15879" max="15879" width="9.44140625" style="2" customWidth="1"/>
    <col min="15880" max="15880" width="14.33203125" style="2" customWidth="1"/>
    <col min="15881" max="15881" width="14.44140625" style="2" customWidth="1"/>
    <col min="15882" max="16129" width="9.6640625" style="2"/>
    <col min="16130" max="16130" width="12" style="2" bestFit="1" customWidth="1"/>
    <col min="16131" max="16131" width="11.109375" style="2" bestFit="1" customWidth="1"/>
    <col min="16132" max="16132" width="11.33203125" style="2" bestFit="1" customWidth="1"/>
    <col min="16133" max="16133" width="13.77734375" style="2" bestFit="1" customWidth="1"/>
    <col min="16134" max="16134" width="19.33203125" style="2" bestFit="1" customWidth="1"/>
    <col min="16135" max="16135" width="9.44140625" style="2" customWidth="1"/>
    <col min="16136" max="16136" width="14.33203125" style="2" customWidth="1"/>
    <col min="16137" max="16137" width="14.44140625" style="2" customWidth="1"/>
    <col min="16138" max="16384" width="9.6640625" style="2"/>
  </cols>
  <sheetData>
    <row r="1" spans="1:14" s="1" customFormat="1" x14ac:dyDescent="0.3">
      <c r="A1" s="3" t="s">
        <v>0</v>
      </c>
      <c r="B1" s="3" t="s">
        <v>1</v>
      </c>
      <c r="C1" s="3" t="s">
        <v>2</v>
      </c>
      <c r="D1" s="4" t="s">
        <v>3</v>
      </c>
      <c r="E1" s="4" t="s">
        <v>4</v>
      </c>
      <c r="F1" s="4" t="s">
        <v>5</v>
      </c>
      <c r="G1" s="1" t="s">
        <v>6</v>
      </c>
      <c r="H1" s="5" t="s">
        <v>26</v>
      </c>
      <c r="I1" s="5" t="s">
        <v>27</v>
      </c>
      <c r="J1" s="5" t="s">
        <v>28</v>
      </c>
      <c r="K1" s="5" t="s">
        <v>29</v>
      </c>
      <c r="L1" s="5" t="s">
        <v>30</v>
      </c>
      <c r="M1" s="5" t="s">
        <v>31</v>
      </c>
      <c r="N1" s="5" t="s">
        <v>32</v>
      </c>
    </row>
    <row r="2" spans="1:14" x14ac:dyDescent="0.3">
      <c r="A2" s="3" t="s">
        <v>7</v>
      </c>
      <c r="B2" s="3">
        <v>2</v>
      </c>
      <c r="C2" s="3" t="s">
        <v>8</v>
      </c>
      <c r="D2" s="4" t="s">
        <v>9</v>
      </c>
      <c r="E2" s="4" t="s">
        <v>9</v>
      </c>
      <c r="F2" s="4" t="s">
        <v>9</v>
      </c>
      <c r="G2" s="2">
        <v>1825</v>
      </c>
      <c r="H2" s="2">
        <f>IF(C2="Mon",1,0)</f>
        <v>0</v>
      </c>
      <c r="I2" s="2">
        <f>IF(C2="Tue",1,0)</f>
        <v>1</v>
      </c>
      <c r="J2" s="2">
        <f>IF(C2="Wed",1,0)</f>
        <v>0</v>
      </c>
      <c r="K2" s="2">
        <f>IF(C2="Thu",1,0)</f>
        <v>0</v>
      </c>
      <c r="L2" s="2">
        <f>IF(D2="Yes",1,0)</f>
        <v>1</v>
      </c>
      <c r="M2" s="2">
        <f>IF(E2="Yes",1,0)</f>
        <v>1</v>
      </c>
      <c r="N2" s="2">
        <f>IF(F2="Yes",1,0)</f>
        <v>1</v>
      </c>
    </row>
    <row r="3" spans="1:14" x14ac:dyDescent="0.3">
      <c r="A3" s="3" t="s">
        <v>7</v>
      </c>
      <c r="B3" s="3">
        <v>3</v>
      </c>
      <c r="C3" s="3" t="s">
        <v>10</v>
      </c>
      <c r="D3" s="4" t="s">
        <v>11</v>
      </c>
      <c r="E3" s="4" t="s">
        <v>11</v>
      </c>
      <c r="F3" s="4" t="s">
        <v>11</v>
      </c>
      <c r="G3" s="2">
        <v>1257</v>
      </c>
      <c r="H3" s="2">
        <f t="shared" ref="H3:H66" si="0">IF(C3="Mon",1,0)</f>
        <v>0</v>
      </c>
      <c r="I3" s="2">
        <f t="shared" ref="I3:I66" si="1">IF(C3="Tue",1,0)</f>
        <v>0</v>
      </c>
      <c r="J3" s="2">
        <f t="shared" ref="J3:J66" si="2">IF(C3="Wed",1,0)</f>
        <v>1</v>
      </c>
      <c r="K3" s="2">
        <f t="shared" ref="K3:K66" si="3">IF(C3="Thu",1,0)</f>
        <v>0</v>
      </c>
      <c r="L3" s="2">
        <f t="shared" ref="L3:L66" si="4">IF(D3="Yes",1,0)</f>
        <v>0</v>
      </c>
      <c r="M3" s="2">
        <f t="shared" ref="M3:M66" si="5">IF(E3="Yes",1,0)</f>
        <v>0</v>
      </c>
      <c r="N3" s="2">
        <f t="shared" ref="N3:N66" si="6">IF(F3="Yes",1,0)</f>
        <v>0</v>
      </c>
    </row>
    <row r="4" spans="1:14" x14ac:dyDescent="0.3">
      <c r="A4" s="3" t="s">
        <v>7</v>
      </c>
      <c r="B4" s="3">
        <v>4</v>
      </c>
      <c r="C4" s="3" t="s">
        <v>12</v>
      </c>
      <c r="D4" s="4" t="s">
        <v>11</v>
      </c>
      <c r="E4" s="4" t="s">
        <v>11</v>
      </c>
      <c r="F4" s="4" t="s">
        <v>11</v>
      </c>
      <c r="G4" s="2">
        <v>969</v>
      </c>
      <c r="H4" s="2">
        <f t="shared" si="0"/>
        <v>0</v>
      </c>
      <c r="I4" s="2">
        <f t="shared" si="1"/>
        <v>0</v>
      </c>
      <c r="J4" s="2">
        <f t="shared" si="2"/>
        <v>0</v>
      </c>
      <c r="K4" s="2">
        <f t="shared" si="3"/>
        <v>1</v>
      </c>
      <c r="L4" s="2">
        <f t="shared" si="4"/>
        <v>0</v>
      </c>
      <c r="M4" s="2">
        <f t="shared" si="5"/>
        <v>0</v>
      </c>
      <c r="N4" s="2">
        <f t="shared" si="6"/>
        <v>0</v>
      </c>
    </row>
    <row r="5" spans="1:14" x14ac:dyDescent="0.3">
      <c r="A5" s="3" t="s">
        <v>7</v>
      </c>
      <c r="B5" s="3">
        <v>5</v>
      </c>
      <c r="C5" s="3" t="s">
        <v>13</v>
      </c>
      <c r="D5" s="4" t="s">
        <v>9</v>
      </c>
      <c r="E5" s="4" t="s">
        <v>11</v>
      </c>
      <c r="F5" s="4" t="s">
        <v>11</v>
      </c>
      <c r="G5" s="2">
        <v>1672</v>
      </c>
      <c r="H5" s="2">
        <f t="shared" si="0"/>
        <v>0</v>
      </c>
      <c r="I5" s="2">
        <f t="shared" si="1"/>
        <v>0</v>
      </c>
      <c r="J5" s="2">
        <f t="shared" si="2"/>
        <v>0</v>
      </c>
      <c r="K5" s="2">
        <f t="shared" si="3"/>
        <v>0</v>
      </c>
      <c r="L5" s="2">
        <f t="shared" si="4"/>
        <v>1</v>
      </c>
      <c r="M5" s="2">
        <f t="shared" si="5"/>
        <v>0</v>
      </c>
      <c r="N5" s="2">
        <f t="shared" si="6"/>
        <v>0</v>
      </c>
    </row>
    <row r="6" spans="1:14" x14ac:dyDescent="0.3">
      <c r="A6" s="3" t="s">
        <v>7</v>
      </c>
      <c r="B6" s="3">
        <v>8</v>
      </c>
      <c r="C6" s="3" t="s">
        <v>14</v>
      </c>
      <c r="D6" s="4" t="s">
        <v>11</v>
      </c>
      <c r="E6" s="4" t="s">
        <v>11</v>
      </c>
      <c r="F6" s="4" t="s">
        <v>11</v>
      </c>
      <c r="G6" s="2">
        <v>1098</v>
      </c>
      <c r="H6" s="2">
        <f t="shared" si="0"/>
        <v>1</v>
      </c>
      <c r="I6" s="2">
        <f t="shared" si="1"/>
        <v>0</v>
      </c>
      <c r="J6" s="2">
        <f t="shared" si="2"/>
        <v>0</v>
      </c>
      <c r="K6" s="2">
        <f t="shared" si="3"/>
        <v>0</v>
      </c>
      <c r="L6" s="2">
        <f t="shared" si="4"/>
        <v>0</v>
      </c>
      <c r="M6" s="2">
        <f t="shared" si="5"/>
        <v>0</v>
      </c>
      <c r="N6" s="2">
        <f t="shared" si="6"/>
        <v>0</v>
      </c>
    </row>
    <row r="7" spans="1:14" x14ac:dyDescent="0.3">
      <c r="A7" s="3" t="s">
        <v>7</v>
      </c>
      <c r="B7" s="3">
        <v>9</v>
      </c>
      <c r="C7" s="3" t="s">
        <v>8</v>
      </c>
      <c r="D7" s="4" t="s">
        <v>11</v>
      </c>
      <c r="E7" s="4" t="s">
        <v>11</v>
      </c>
      <c r="F7" s="4" t="s">
        <v>11</v>
      </c>
      <c r="G7" s="2">
        <v>691</v>
      </c>
      <c r="H7" s="2">
        <f t="shared" si="0"/>
        <v>0</v>
      </c>
      <c r="I7" s="2">
        <f t="shared" si="1"/>
        <v>1</v>
      </c>
      <c r="J7" s="2">
        <f t="shared" si="2"/>
        <v>0</v>
      </c>
      <c r="K7" s="2">
        <f t="shared" si="3"/>
        <v>0</v>
      </c>
      <c r="L7" s="2">
        <f t="shared" si="4"/>
        <v>0</v>
      </c>
      <c r="M7" s="2">
        <f t="shared" si="5"/>
        <v>0</v>
      </c>
      <c r="N7" s="2">
        <f t="shared" si="6"/>
        <v>0</v>
      </c>
    </row>
    <row r="8" spans="1:14" x14ac:dyDescent="0.3">
      <c r="A8" s="3" t="s">
        <v>7</v>
      </c>
      <c r="B8" s="3">
        <v>10</v>
      </c>
      <c r="C8" s="3" t="s">
        <v>10</v>
      </c>
      <c r="D8" s="4" t="s">
        <v>11</v>
      </c>
      <c r="E8" s="4" t="s">
        <v>11</v>
      </c>
      <c r="F8" s="4" t="s">
        <v>11</v>
      </c>
      <c r="G8" s="2">
        <v>672</v>
      </c>
      <c r="H8" s="2">
        <f t="shared" si="0"/>
        <v>0</v>
      </c>
      <c r="I8" s="2">
        <f t="shared" si="1"/>
        <v>0</v>
      </c>
      <c r="J8" s="2">
        <f t="shared" si="2"/>
        <v>1</v>
      </c>
      <c r="K8" s="2">
        <f t="shared" si="3"/>
        <v>0</v>
      </c>
      <c r="L8" s="2">
        <f t="shared" si="4"/>
        <v>0</v>
      </c>
      <c r="M8" s="2">
        <f t="shared" si="5"/>
        <v>0</v>
      </c>
      <c r="N8" s="2">
        <f t="shared" si="6"/>
        <v>0</v>
      </c>
    </row>
    <row r="9" spans="1:14" x14ac:dyDescent="0.3">
      <c r="A9" s="3" t="s">
        <v>7</v>
      </c>
      <c r="B9" s="3">
        <v>11</v>
      </c>
      <c r="C9" s="3" t="s">
        <v>12</v>
      </c>
      <c r="D9" s="4" t="s">
        <v>11</v>
      </c>
      <c r="E9" s="4" t="s">
        <v>11</v>
      </c>
      <c r="F9" s="4" t="s">
        <v>11</v>
      </c>
      <c r="G9" s="2">
        <v>754</v>
      </c>
      <c r="H9" s="2">
        <f t="shared" si="0"/>
        <v>0</v>
      </c>
      <c r="I9" s="2">
        <f t="shared" si="1"/>
        <v>0</v>
      </c>
      <c r="J9" s="2">
        <f t="shared" si="2"/>
        <v>0</v>
      </c>
      <c r="K9" s="2">
        <f t="shared" si="3"/>
        <v>1</v>
      </c>
      <c r="L9" s="2">
        <f t="shared" si="4"/>
        <v>0</v>
      </c>
      <c r="M9" s="2">
        <f t="shared" si="5"/>
        <v>0</v>
      </c>
      <c r="N9" s="2">
        <f t="shared" si="6"/>
        <v>0</v>
      </c>
    </row>
    <row r="10" spans="1:14" x14ac:dyDescent="0.3">
      <c r="A10" s="3" t="s">
        <v>7</v>
      </c>
      <c r="B10" s="3">
        <v>12</v>
      </c>
      <c r="C10" s="3" t="s">
        <v>13</v>
      </c>
      <c r="D10" s="4" t="s">
        <v>11</v>
      </c>
      <c r="E10" s="4" t="s">
        <v>11</v>
      </c>
      <c r="F10" s="4" t="s">
        <v>11</v>
      </c>
      <c r="G10" s="2">
        <v>972</v>
      </c>
      <c r="H10" s="2">
        <f t="shared" si="0"/>
        <v>0</v>
      </c>
      <c r="I10" s="2">
        <f t="shared" si="1"/>
        <v>0</v>
      </c>
      <c r="J10" s="2">
        <f t="shared" si="2"/>
        <v>0</v>
      </c>
      <c r="K10" s="2">
        <f t="shared" si="3"/>
        <v>0</v>
      </c>
      <c r="L10" s="2">
        <f t="shared" si="4"/>
        <v>0</v>
      </c>
      <c r="M10" s="2">
        <f t="shared" si="5"/>
        <v>0</v>
      </c>
      <c r="N10" s="2">
        <f t="shared" si="6"/>
        <v>0</v>
      </c>
    </row>
    <row r="11" spans="1:14" x14ac:dyDescent="0.3">
      <c r="A11" s="3" t="s">
        <v>7</v>
      </c>
      <c r="B11" s="3">
        <v>15</v>
      </c>
      <c r="C11" s="3" t="s">
        <v>14</v>
      </c>
      <c r="D11" s="4" t="s">
        <v>11</v>
      </c>
      <c r="E11" s="4" t="s">
        <v>11</v>
      </c>
      <c r="F11" s="4" t="s">
        <v>11</v>
      </c>
      <c r="G11" s="2">
        <v>816</v>
      </c>
      <c r="H11" s="2">
        <f t="shared" si="0"/>
        <v>1</v>
      </c>
      <c r="I11" s="2">
        <f t="shared" si="1"/>
        <v>0</v>
      </c>
      <c r="J11" s="2">
        <f t="shared" si="2"/>
        <v>0</v>
      </c>
      <c r="K11" s="2">
        <f t="shared" si="3"/>
        <v>0</v>
      </c>
      <c r="L11" s="2">
        <f t="shared" si="4"/>
        <v>0</v>
      </c>
      <c r="M11" s="2">
        <f t="shared" si="5"/>
        <v>0</v>
      </c>
      <c r="N11" s="2">
        <f t="shared" si="6"/>
        <v>0</v>
      </c>
    </row>
    <row r="12" spans="1:14" x14ac:dyDescent="0.3">
      <c r="A12" s="3" t="s">
        <v>7</v>
      </c>
      <c r="B12" s="3">
        <v>16</v>
      </c>
      <c r="C12" s="3" t="s">
        <v>8</v>
      </c>
      <c r="D12" s="4" t="s">
        <v>11</v>
      </c>
      <c r="E12" s="4" t="s">
        <v>11</v>
      </c>
      <c r="F12" s="4" t="s">
        <v>11</v>
      </c>
      <c r="G12" s="2">
        <v>717</v>
      </c>
      <c r="H12" s="2">
        <f t="shared" si="0"/>
        <v>0</v>
      </c>
      <c r="I12" s="2">
        <f t="shared" si="1"/>
        <v>1</v>
      </c>
      <c r="J12" s="2">
        <f t="shared" si="2"/>
        <v>0</v>
      </c>
      <c r="K12" s="2">
        <f t="shared" si="3"/>
        <v>0</v>
      </c>
      <c r="L12" s="2">
        <f t="shared" si="4"/>
        <v>0</v>
      </c>
      <c r="M12" s="2">
        <f t="shared" si="5"/>
        <v>0</v>
      </c>
      <c r="N12" s="2">
        <f t="shared" si="6"/>
        <v>0</v>
      </c>
    </row>
    <row r="13" spans="1:14" x14ac:dyDescent="0.3">
      <c r="A13" s="3" t="s">
        <v>7</v>
      </c>
      <c r="B13" s="3">
        <v>17</v>
      </c>
      <c r="C13" s="3" t="s">
        <v>10</v>
      </c>
      <c r="D13" s="4" t="s">
        <v>11</v>
      </c>
      <c r="E13" s="4" t="s">
        <v>11</v>
      </c>
      <c r="F13" s="4" t="s">
        <v>11</v>
      </c>
      <c r="G13" s="2">
        <v>728</v>
      </c>
      <c r="H13" s="2">
        <f t="shared" si="0"/>
        <v>0</v>
      </c>
      <c r="I13" s="2">
        <f t="shared" si="1"/>
        <v>0</v>
      </c>
      <c r="J13" s="2">
        <f t="shared" si="2"/>
        <v>1</v>
      </c>
      <c r="K13" s="2">
        <f t="shared" si="3"/>
        <v>0</v>
      </c>
      <c r="L13" s="2">
        <f t="shared" si="4"/>
        <v>0</v>
      </c>
      <c r="M13" s="2">
        <f t="shared" si="5"/>
        <v>0</v>
      </c>
      <c r="N13" s="2">
        <f t="shared" si="6"/>
        <v>0</v>
      </c>
    </row>
    <row r="14" spans="1:14" x14ac:dyDescent="0.3">
      <c r="A14" s="3" t="s">
        <v>7</v>
      </c>
      <c r="B14" s="3">
        <v>18</v>
      </c>
      <c r="C14" s="3" t="s">
        <v>12</v>
      </c>
      <c r="D14" s="4" t="s">
        <v>11</v>
      </c>
      <c r="E14" s="4" t="s">
        <v>11</v>
      </c>
      <c r="F14" s="4" t="s">
        <v>11</v>
      </c>
      <c r="G14" s="2">
        <v>711</v>
      </c>
      <c r="H14" s="2">
        <f t="shared" si="0"/>
        <v>0</v>
      </c>
      <c r="I14" s="2">
        <f t="shared" si="1"/>
        <v>0</v>
      </c>
      <c r="J14" s="2">
        <f t="shared" si="2"/>
        <v>0</v>
      </c>
      <c r="K14" s="2">
        <f t="shared" si="3"/>
        <v>1</v>
      </c>
      <c r="L14" s="2">
        <f t="shared" si="4"/>
        <v>0</v>
      </c>
      <c r="M14" s="2">
        <f t="shared" si="5"/>
        <v>0</v>
      </c>
      <c r="N14" s="2">
        <f t="shared" si="6"/>
        <v>0</v>
      </c>
    </row>
    <row r="15" spans="1:14" x14ac:dyDescent="0.3">
      <c r="A15" s="3" t="s">
        <v>7</v>
      </c>
      <c r="B15" s="3">
        <v>19</v>
      </c>
      <c r="C15" s="3" t="s">
        <v>13</v>
      </c>
      <c r="D15" s="4" t="s">
        <v>9</v>
      </c>
      <c r="E15" s="4" t="s">
        <v>11</v>
      </c>
      <c r="F15" s="4" t="s">
        <v>11</v>
      </c>
      <c r="G15" s="2">
        <v>1545</v>
      </c>
      <c r="H15" s="2">
        <f t="shared" si="0"/>
        <v>0</v>
      </c>
      <c r="I15" s="2">
        <f t="shared" si="1"/>
        <v>0</v>
      </c>
      <c r="J15" s="2">
        <f t="shared" si="2"/>
        <v>0</v>
      </c>
      <c r="K15" s="2">
        <f t="shared" si="3"/>
        <v>0</v>
      </c>
      <c r="L15" s="2">
        <f t="shared" si="4"/>
        <v>1</v>
      </c>
      <c r="M15" s="2">
        <f t="shared" si="5"/>
        <v>0</v>
      </c>
      <c r="N15" s="2">
        <f t="shared" si="6"/>
        <v>0</v>
      </c>
    </row>
    <row r="16" spans="1:14" x14ac:dyDescent="0.3">
      <c r="A16" s="3" t="s">
        <v>7</v>
      </c>
      <c r="B16" s="3">
        <v>22</v>
      </c>
      <c r="C16" s="3" t="s">
        <v>14</v>
      </c>
      <c r="D16" s="4" t="s">
        <v>11</v>
      </c>
      <c r="E16" s="4" t="s">
        <v>11</v>
      </c>
      <c r="F16" s="4" t="s">
        <v>11</v>
      </c>
      <c r="G16" s="2">
        <v>873</v>
      </c>
      <c r="H16" s="2">
        <f t="shared" si="0"/>
        <v>1</v>
      </c>
      <c r="I16" s="2">
        <f t="shared" si="1"/>
        <v>0</v>
      </c>
      <c r="J16" s="2">
        <f t="shared" si="2"/>
        <v>0</v>
      </c>
      <c r="K16" s="2">
        <f t="shared" si="3"/>
        <v>0</v>
      </c>
      <c r="L16" s="2">
        <f t="shared" si="4"/>
        <v>0</v>
      </c>
      <c r="M16" s="2">
        <f t="shared" si="5"/>
        <v>0</v>
      </c>
      <c r="N16" s="2">
        <f t="shared" si="6"/>
        <v>0</v>
      </c>
    </row>
    <row r="17" spans="1:14" x14ac:dyDescent="0.3">
      <c r="A17" s="3" t="s">
        <v>7</v>
      </c>
      <c r="B17" s="3">
        <v>23</v>
      </c>
      <c r="C17" s="3" t="s">
        <v>8</v>
      </c>
      <c r="D17" s="4" t="s">
        <v>11</v>
      </c>
      <c r="E17" s="4" t="s">
        <v>11</v>
      </c>
      <c r="F17" s="4" t="s">
        <v>11</v>
      </c>
      <c r="G17" s="2">
        <v>713</v>
      </c>
      <c r="H17" s="2">
        <f t="shared" si="0"/>
        <v>0</v>
      </c>
      <c r="I17" s="2">
        <f t="shared" si="1"/>
        <v>1</v>
      </c>
      <c r="J17" s="2">
        <f t="shared" si="2"/>
        <v>0</v>
      </c>
      <c r="K17" s="2">
        <f t="shared" si="3"/>
        <v>0</v>
      </c>
      <c r="L17" s="2">
        <f t="shared" si="4"/>
        <v>0</v>
      </c>
      <c r="M17" s="2">
        <f t="shared" si="5"/>
        <v>0</v>
      </c>
      <c r="N17" s="2">
        <f t="shared" si="6"/>
        <v>0</v>
      </c>
    </row>
    <row r="18" spans="1:14" x14ac:dyDescent="0.3">
      <c r="A18" s="3" t="s">
        <v>7</v>
      </c>
      <c r="B18" s="3">
        <v>24</v>
      </c>
      <c r="C18" s="3" t="s">
        <v>10</v>
      </c>
      <c r="D18" s="4" t="s">
        <v>11</v>
      </c>
      <c r="E18" s="4" t="s">
        <v>11</v>
      </c>
      <c r="F18" s="4" t="s">
        <v>11</v>
      </c>
      <c r="G18" s="2">
        <v>626</v>
      </c>
      <c r="H18" s="2">
        <f t="shared" si="0"/>
        <v>0</v>
      </c>
      <c r="I18" s="2">
        <f t="shared" si="1"/>
        <v>0</v>
      </c>
      <c r="J18" s="2">
        <f t="shared" si="2"/>
        <v>1</v>
      </c>
      <c r="K18" s="2">
        <f t="shared" si="3"/>
        <v>0</v>
      </c>
      <c r="L18" s="2">
        <f t="shared" si="4"/>
        <v>0</v>
      </c>
      <c r="M18" s="2">
        <f t="shared" si="5"/>
        <v>0</v>
      </c>
      <c r="N18" s="2">
        <f t="shared" si="6"/>
        <v>0</v>
      </c>
    </row>
    <row r="19" spans="1:14" x14ac:dyDescent="0.3">
      <c r="A19" s="3" t="s">
        <v>7</v>
      </c>
      <c r="B19" s="3">
        <v>25</v>
      </c>
      <c r="C19" s="3" t="s">
        <v>12</v>
      </c>
      <c r="D19" s="4" t="s">
        <v>11</v>
      </c>
      <c r="E19" s="4" t="s">
        <v>11</v>
      </c>
      <c r="F19" s="4" t="s">
        <v>11</v>
      </c>
      <c r="G19" s="2">
        <v>653</v>
      </c>
      <c r="H19" s="2">
        <f t="shared" si="0"/>
        <v>0</v>
      </c>
      <c r="I19" s="2">
        <f t="shared" si="1"/>
        <v>0</v>
      </c>
      <c r="J19" s="2">
        <f t="shared" si="2"/>
        <v>0</v>
      </c>
      <c r="K19" s="2">
        <f t="shared" si="3"/>
        <v>1</v>
      </c>
      <c r="L19" s="2">
        <f t="shared" si="4"/>
        <v>0</v>
      </c>
      <c r="M19" s="2">
        <f t="shared" si="5"/>
        <v>0</v>
      </c>
      <c r="N19" s="2">
        <f t="shared" si="6"/>
        <v>0</v>
      </c>
    </row>
    <row r="20" spans="1:14" x14ac:dyDescent="0.3">
      <c r="A20" s="3" t="s">
        <v>7</v>
      </c>
      <c r="B20" s="3">
        <v>26</v>
      </c>
      <c r="C20" s="3" t="s">
        <v>13</v>
      </c>
      <c r="D20" s="4" t="s">
        <v>11</v>
      </c>
      <c r="E20" s="4" t="s">
        <v>11</v>
      </c>
      <c r="F20" s="4" t="s">
        <v>11</v>
      </c>
      <c r="G20" s="2">
        <v>1080</v>
      </c>
      <c r="H20" s="2">
        <f t="shared" si="0"/>
        <v>0</v>
      </c>
      <c r="I20" s="2">
        <f t="shared" si="1"/>
        <v>0</v>
      </c>
      <c r="J20" s="2">
        <f t="shared" si="2"/>
        <v>0</v>
      </c>
      <c r="K20" s="2">
        <f t="shared" si="3"/>
        <v>0</v>
      </c>
      <c r="L20" s="2">
        <f t="shared" si="4"/>
        <v>0</v>
      </c>
      <c r="M20" s="2">
        <f t="shared" si="5"/>
        <v>0</v>
      </c>
      <c r="N20" s="2">
        <f t="shared" si="6"/>
        <v>0</v>
      </c>
    </row>
    <row r="21" spans="1:14" x14ac:dyDescent="0.3">
      <c r="A21" s="3" t="s">
        <v>7</v>
      </c>
      <c r="B21" s="3">
        <v>29</v>
      </c>
      <c r="C21" s="3" t="s">
        <v>14</v>
      </c>
      <c r="D21" s="4" t="s">
        <v>11</v>
      </c>
      <c r="E21" s="4" t="s">
        <v>11</v>
      </c>
      <c r="F21" s="4" t="s">
        <v>11</v>
      </c>
      <c r="G21" s="2">
        <v>650</v>
      </c>
      <c r="H21" s="2">
        <f t="shared" si="0"/>
        <v>1</v>
      </c>
      <c r="I21" s="2">
        <f t="shared" si="1"/>
        <v>0</v>
      </c>
      <c r="J21" s="2">
        <f t="shared" si="2"/>
        <v>0</v>
      </c>
      <c r="K21" s="2">
        <f t="shared" si="3"/>
        <v>0</v>
      </c>
      <c r="L21" s="2">
        <f t="shared" si="4"/>
        <v>0</v>
      </c>
      <c r="M21" s="2">
        <f t="shared" si="5"/>
        <v>0</v>
      </c>
      <c r="N21" s="2">
        <f t="shared" si="6"/>
        <v>0</v>
      </c>
    </row>
    <row r="22" spans="1:14" x14ac:dyDescent="0.3">
      <c r="A22" s="3" t="s">
        <v>7</v>
      </c>
      <c r="B22" s="3">
        <v>30</v>
      </c>
      <c r="C22" s="3" t="s">
        <v>8</v>
      </c>
      <c r="D22" s="4" t="s">
        <v>11</v>
      </c>
      <c r="E22" s="4" t="s">
        <v>11</v>
      </c>
      <c r="F22" s="4" t="s">
        <v>11</v>
      </c>
      <c r="G22" s="2">
        <v>644</v>
      </c>
      <c r="H22" s="2">
        <f t="shared" si="0"/>
        <v>0</v>
      </c>
      <c r="I22" s="2">
        <f t="shared" si="1"/>
        <v>1</v>
      </c>
      <c r="J22" s="2">
        <f t="shared" si="2"/>
        <v>0</v>
      </c>
      <c r="K22" s="2">
        <f t="shared" si="3"/>
        <v>0</v>
      </c>
      <c r="L22" s="2">
        <f t="shared" si="4"/>
        <v>0</v>
      </c>
      <c r="M22" s="2">
        <f t="shared" si="5"/>
        <v>0</v>
      </c>
      <c r="N22" s="2">
        <f t="shared" si="6"/>
        <v>0</v>
      </c>
    </row>
    <row r="23" spans="1:14" x14ac:dyDescent="0.3">
      <c r="A23" s="3" t="s">
        <v>7</v>
      </c>
      <c r="B23" s="3">
        <v>31</v>
      </c>
      <c r="C23" s="3" t="s">
        <v>10</v>
      </c>
      <c r="D23" s="4" t="s">
        <v>11</v>
      </c>
      <c r="E23" s="4" t="s">
        <v>11</v>
      </c>
      <c r="F23" s="4" t="s">
        <v>11</v>
      </c>
      <c r="G23" s="2">
        <v>803</v>
      </c>
      <c r="H23" s="2">
        <f t="shared" si="0"/>
        <v>0</v>
      </c>
      <c r="I23" s="2">
        <f t="shared" si="1"/>
        <v>0</v>
      </c>
      <c r="J23" s="2">
        <f t="shared" si="2"/>
        <v>1</v>
      </c>
      <c r="K23" s="2">
        <f t="shared" si="3"/>
        <v>0</v>
      </c>
      <c r="L23" s="2">
        <f t="shared" si="4"/>
        <v>0</v>
      </c>
      <c r="M23" s="2">
        <f t="shared" si="5"/>
        <v>0</v>
      </c>
      <c r="N23" s="2">
        <f t="shared" si="6"/>
        <v>0</v>
      </c>
    </row>
    <row r="24" spans="1:14" x14ac:dyDescent="0.3">
      <c r="A24" s="3" t="s">
        <v>15</v>
      </c>
      <c r="B24" s="3">
        <v>1</v>
      </c>
      <c r="C24" s="3" t="s">
        <v>12</v>
      </c>
      <c r="D24" s="4" t="s">
        <v>11</v>
      </c>
      <c r="E24" s="4" t="s">
        <v>9</v>
      </c>
      <c r="F24" s="4" t="s">
        <v>11</v>
      </c>
      <c r="G24" s="2">
        <v>1282</v>
      </c>
      <c r="H24" s="2">
        <f t="shared" si="0"/>
        <v>0</v>
      </c>
      <c r="I24" s="2">
        <f t="shared" si="1"/>
        <v>0</v>
      </c>
      <c r="J24" s="2">
        <f t="shared" si="2"/>
        <v>0</v>
      </c>
      <c r="K24" s="2">
        <f t="shared" si="3"/>
        <v>1</v>
      </c>
      <c r="L24" s="2">
        <f t="shared" si="4"/>
        <v>0</v>
      </c>
      <c r="M24" s="2">
        <f t="shared" si="5"/>
        <v>1</v>
      </c>
      <c r="N24" s="2">
        <f t="shared" si="6"/>
        <v>0</v>
      </c>
    </row>
    <row r="25" spans="1:14" x14ac:dyDescent="0.3">
      <c r="A25" s="3" t="s">
        <v>15</v>
      </c>
      <c r="B25" s="3">
        <v>2</v>
      </c>
      <c r="C25" s="3" t="s">
        <v>13</v>
      </c>
      <c r="D25" s="4" t="s">
        <v>9</v>
      </c>
      <c r="E25" s="4" t="s">
        <v>11</v>
      </c>
      <c r="F25" s="4" t="s">
        <v>11</v>
      </c>
      <c r="G25" s="2">
        <v>2043</v>
      </c>
      <c r="H25" s="2">
        <f t="shared" si="0"/>
        <v>0</v>
      </c>
      <c r="I25" s="2">
        <f t="shared" si="1"/>
        <v>0</v>
      </c>
      <c r="J25" s="2">
        <f t="shared" si="2"/>
        <v>0</v>
      </c>
      <c r="K25" s="2">
        <f t="shared" si="3"/>
        <v>0</v>
      </c>
      <c r="L25" s="2">
        <f t="shared" si="4"/>
        <v>1</v>
      </c>
      <c r="M25" s="2">
        <f t="shared" si="5"/>
        <v>0</v>
      </c>
      <c r="N25" s="2">
        <f t="shared" si="6"/>
        <v>0</v>
      </c>
    </row>
    <row r="26" spans="1:14" x14ac:dyDescent="0.3">
      <c r="A26" s="3" t="s">
        <v>15</v>
      </c>
      <c r="B26" s="3">
        <v>5</v>
      </c>
      <c r="C26" s="3" t="s">
        <v>14</v>
      </c>
      <c r="D26" s="4" t="s">
        <v>11</v>
      </c>
      <c r="E26" s="4" t="s">
        <v>11</v>
      </c>
      <c r="F26" s="4" t="s">
        <v>11</v>
      </c>
      <c r="G26" s="2">
        <v>1146</v>
      </c>
      <c r="H26" s="2">
        <f t="shared" si="0"/>
        <v>1</v>
      </c>
      <c r="I26" s="2">
        <f t="shared" si="1"/>
        <v>0</v>
      </c>
      <c r="J26" s="2">
        <f t="shared" si="2"/>
        <v>0</v>
      </c>
      <c r="K26" s="2">
        <f t="shared" si="3"/>
        <v>0</v>
      </c>
      <c r="L26" s="2">
        <f t="shared" si="4"/>
        <v>0</v>
      </c>
      <c r="M26" s="2">
        <f t="shared" si="5"/>
        <v>0</v>
      </c>
      <c r="N26" s="2">
        <f t="shared" si="6"/>
        <v>0</v>
      </c>
    </row>
    <row r="27" spans="1:14" x14ac:dyDescent="0.3">
      <c r="A27" s="3" t="s">
        <v>15</v>
      </c>
      <c r="B27" s="3">
        <v>6</v>
      </c>
      <c r="C27" s="3" t="s">
        <v>8</v>
      </c>
      <c r="D27" s="4" t="s">
        <v>11</v>
      </c>
      <c r="E27" s="4" t="s">
        <v>11</v>
      </c>
      <c r="F27" s="4" t="s">
        <v>11</v>
      </c>
      <c r="G27" s="2">
        <v>740</v>
      </c>
      <c r="H27" s="2">
        <f t="shared" si="0"/>
        <v>0</v>
      </c>
      <c r="I27" s="2">
        <f t="shared" si="1"/>
        <v>1</v>
      </c>
      <c r="J27" s="2">
        <f t="shared" si="2"/>
        <v>0</v>
      </c>
      <c r="K27" s="2">
        <f t="shared" si="3"/>
        <v>0</v>
      </c>
      <c r="L27" s="2">
        <f t="shared" si="4"/>
        <v>0</v>
      </c>
      <c r="M27" s="2">
        <f t="shared" si="5"/>
        <v>0</v>
      </c>
      <c r="N27" s="2">
        <f t="shared" si="6"/>
        <v>0</v>
      </c>
    </row>
    <row r="28" spans="1:14" x14ac:dyDescent="0.3">
      <c r="A28" s="3" t="s">
        <v>15</v>
      </c>
      <c r="B28" s="3">
        <v>7</v>
      </c>
      <c r="C28" s="3" t="s">
        <v>10</v>
      </c>
      <c r="D28" s="4" t="s">
        <v>11</v>
      </c>
      <c r="E28" s="4" t="s">
        <v>11</v>
      </c>
      <c r="F28" s="4" t="s">
        <v>11</v>
      </c>
      <c r="G28" s="2">
        <v>698</v>
      </c>
      <c r="H28" s="2">
        <f t="shared" si="0"/>
        <v>0</v>
      </c>
      <c r="I28" s="2">
        <f t="shared" si="1"/>
        <v>0</v>
      </c>
      <c r="J28" s="2">
        <f t="shared" si="2"/>
        <v>1</v>
      </c>
      <c r="K28" s="2">
        <f t="shared" si="3"/>
        <v>0</v>
      </c>
      <c r="L28" s="2">
        <f t="shared" si="4"/>
        <v>0</v>
      </c>
      <c r="M28" s="2">
        <f t="shared" si="5"/>
        <v>0</v>
      </c>
      <c r="N28" s="2">
        <f t="shared" si="6"/>
        <v>0</v>
      </c>
    </row>
    <row r="29" spans="1:14" x14ac:dyDescent="0.3">
      <c r="A29" s="3" t="s">
        <v>15</v>
      </c>
      <c r="B29" s="3">
        <v>8</v>
      </c>
      <c r="C29" s="3" t="s">
        <v>12</v>
      </c>
      <c r="D29" s="4" t="s">
        <v>11</v>
      </c>
      <c r="E29" s="4" t="s">
        <v>11</v>
      </c>
      <c r="F29" s="4" t="s">
        <v>11</v>
      </c>
      <c r="G29" s="2">
        <v>695</v>
      </c>
      <c r="H29" s="2">
        <f t="shared" si="0"/>
        <v>0</v>
      </c>
      <c r="I29" s="2">
        <f t="shared" si="1"/>
        <v>0</v>
      </c>
      <c r="J29" s="2">
        <f t="shared" si="2"/>
        <v>0</v>
      </c>
      <c r="K29" s="2">
        <f t="shared" si="3"/>
        <v>1</v>
      </c>
      <c r="L29" s="2">
        <f t="shared" si="4"/>
        <v>0</v>
      </c>
      <c r="M29" s="2">
        <f t="shared" si="5"/>
        <v>0</v>
      </c>
      <c r="N29" s="2">
        <f t="shared" si="6"/>
        <v>0</v>
      </c>
    </row>
    <row r="30" spans="1:14" x14ac:dyDescent="0.3">
      <c r="A30" s="3" t="s">
        <v>15</v>
      </c>
      <c r="B30" s="3">
        <v>9</v>
      </c>
      <c r="C30" s="3" t="s">
        <v>13</v>
      </c>
      <c r="D30" s="4" t="s">
        <v>11</v>
      </c>
      <c r="E30" s="4" t="s">
        <v>11</v>
      </c>
      <c r="F30" s="4" t="s">
        <v>11</v>
      </c>
      <c r="G30" s="2">
        <v>1159</v>
      </c>
      <c r="H30" s="2">
        <f t="shared" si="0"/>
        <v>0</v>
      </c>
      <c r="I30" s="2">
        <f t="shared" si="1"/>
        <v>0</v>
      </c>
      <c r="J30" s="2">
        <f t="shared" si="2"/>
        <v>0</v>
      </c>
      <c r="K30" s="2">
        <f t="shared" si="3"/>
        <v>0</v>
      </c>
      <c r="L30" s="2">
        <f t="shared" si="4"/>
        <v>0</v>
      </c>
      <c r="M30" s="2">
        <f t="shared" si="5"/>
        <v>0</v>
      </c>
      <c r="N30" s="2">
        <f t="shared" si="6"/>
        <v>0</v>
      </c>
    </row>
    <row r="31" spans="1:14" x14ac:dyDescent="0.3">
      <c r="A31" s="3" t="s">
        <v>15</v>
      </c>
      <c r="B31" s="3">
        <v>12</v>
      </c>
      <c r="C31" s="3" t="s">
        <v>14</v>
      </c>
      <c r="D31" s="4" t="s">
        <v>11</v>
      </c>
      <c r="E31" s="4" t="s">
        <v>11</v>
      </c>
      <c r="F31" s="4" t="s">
        <v>11</v>
      </c>
      <c r="G31" s="2">
        <v>881</v>
      </c>
      <c r="H31" s="2">
        <f t="shared" si="0"/>
        <v>1</v>
      </c>
      <c r="I31" s="2">
        <f t="shared" si="1"/>
        <v>0</v>
      </c>
      <c r="J31" s="2">
        <f t="shared" si="2"/>
        <v>0</v>
      </c>
      <c r="K31" s="2">
        <f t="shared" si="3"/>
        <v>0</v>
      </c>
      <c r="L31" s="2">
        <f t="shared" si="4"/>
        <v>0</v>
      </c>
      <c r="M31" s="2">
        <f t="shared" si="5"/>
        <v>0</v>
      </c>
      <c r="N31" s="2">
        <f t="shared" si="6"/>
        <v>0</v>
      </c>
    </row>
    <row r="32" spans="1:14" x14ac:dyDescent="0.3">
      <c r="A32" s="3" t="s">
        <v>15</v>
      </c>
      <c r="B32" s="3">
        <v>13</v>
      </c>
      <c r="C32" s="3" t="s">
        <v>8</v>
      </c>
      <c r="D32" s="4" t="s">
        <v>11</v>
      </c>
      <c r="E32" s="4" t="s">
        <v>11</v>
      </c>
      <c r="F32" s="4" t="s">
        <v>11</v>
      </c>
      <c r="G32" s="2">
        <v>768</v>
      </c>
      <c r="H32" s="2">
        <f t="shared" si="0"/>
        <v>0</v>
      </c>
      <c r="I32" s="2">
        <f t="shared" si="1"/>
        <v>1</v>
      </c>
      <c r="J32" s="2">
        <f t="shared" si="2"/>
        <v>0</v>
      </c>
      <c r="K32" s="2">
        <f t="shared" si="3"/>
        <v>0</v>
      </c>
      <c r="L32" s="2">
        <f t="shared" si="4"/>
        <v>0</v>
      </c>
      <c r="M32" s="2">
        <f t="shared" si="5"/>
        <v>0</v>
      </c>
      <c r="N32" s="2">
        <f t="shared" si="6"/>
        <v>0</v>
      </c>
    </row>
    <row r="33" spans="1:14" x14ac:dyDescent="0.3">
      <c r="A33" s="3" t="s">
        <v>15</v>
      </c>
      <c r="B33" s="3">
        <v>14</v>
      </c>
      <c r="C33" s="3" t="s">
        <v>10</v>
      </c>
      <c r="D33" s="4" t="s">
        <v>11</v>
      </c>
      <c r="E33" s="4" t="s">
        <v>11</v>
      </c>
      <c r="F33" s="4" t="s">
        <v>11</v>
      </c>
      <c r="G33" s="2">
        <v>654</v>
      </c>
      <c r="H33" s="2">
        <f t="shared" si="0"/>
        <v>0</v>
      </c>
      <c r="I33" s="2">
        <f t="shared" si="1"/>
        <v>0</v>
      </c>
      <c r="J33" s="2">
        <f t="shared" si="2"/>
        <v>1</v>
      </c>
      <c r="K33" s="2">
        <f t="shared" si="3"/>
        <v>0</v>
      </c>
      <c r="L33" s="2">
        <f t="shared" si="4"/>
        <v>0</v>
      </c>
      <c r="M33" s="2">
        <f t="shared" si="5"/>
        <v>0</v>
      </c>
      <c r="N33" s="2">
        <f t="shared" si="6"/>
        <v>0</v>
      </c>
    </row>
    <row r="34" spans="1:14" x14ac:dyDescent="0.3">
      <c r="A34" s="3" t="s">
        <v>15</v>
      </c>
      <c r="B34" s="3">
        <v>15</v>
      </c>
      <c r="C34" s="3" t="s">
        <v>12</v>
      </c>
      <c r="D34" s="4" t="s">
        <v>11</v>
      </c>
      <c r="E34" s="4" t="s">
        <v>11</v>
      </c>
      <c r="F34" s="4" t="s">
        <v>11</v>
      </c>
      <c r="G34" s="2">
        <v>858</v>
      </c>
      <c r="H34" s="2">
        <f t="shared" si="0"/>
        <v>0</v>
      </c>
      <c r="I34" s="2">
        <f t="shared" si="1"/>
        <v>0</v>
      </c>
      <c r="J34" s="2">
        <f t="shared" si="2"/>
        <v>0</v>
      </c>
      <c r="K34" s="2">
        <f t="shared" si="3"/>
        <v>1</v>
      </c>
      <c r="L34" s="2">
        <f t="shared" si="4"/>
        <v>0</v>
      </c>
      <c r="M34" s="2">
        <f t="shared" si="5"/>
        <v>0</v>
      </c>
      <c r="N34" s="2">
        <f t="shared" si="6"/>
        <v>0</v>
      </c>
    </row>
    <row r="35" spans="1:14" x14ac:dyDescent="0.3">
      <c r="A35" s="3" t="s">
        <v>15</v>
      </c>
      <c r="B35" s="3">
        <v>16</v>
      </c>
      <c r="C35" s="3" t="s">
        <v>13</v>
      </c>
      <c r="D35" s="4" t="s">
        <v>9</v>
      </c>
      <c r="E35" s="4" t="s">
        <v>11</v>
      </c>
      <c r="F35" s="4" t="s">
        <v>11</v>
      </c>
      <c r="G35" s="2">
        <v>1647</v>
      </c>
      <c r="H35" s="2">
        <f t="shared" si="0"/>
        <v>0</v>
      </c>
      <c r="I35" s="2">
        <f t="shared" si="1"/>
        <v>0</v>
      </c>
      <c r="J35" s="2">
        <f t="shared" si="2"/>
        <v>0</v>
      </c>
      <c r="K35" s="2">
        <f t="shared" si="3"/>
        <v>0</v>
      </c>
      <c r="L35" s="2">
        <f t="shared" si="4"/>
        <v>1</v>
      </c>
      <c r="M35" s="2">
        <f t="shared" si="5"/>
        <v>0</v>
      </c>
      <c r="N35" s="2">
        <f t="shared" si="6"/>
        <v>0</v>
      </c>
    </row>
    <row r="36" spans="1:14" x14ac:dyDescent="0.3">
      <c r="A36" s="3" t="s">
        <v>15</v>
      </c>
      <c r="B36" s="3">
        <v>19</v>
      </c>
      <c r="C36" s="3" t="s">
        <v>14</v>
      </c>
      <c r="D36" s="4" t="s">
        <v>11</v>
      </c>
      <c r="E36" s="4" t="s">
        <v>11</v>
      </c>
      <c r="F36" s="4" t="s">
        <v>11</v>
      </c>
      <c r="G36" s="2">
        <v>773</v>
      </c>
      <c r="H36" s="2">
        <f t="shared" si="0"/>
        <v>1</v>
      </c>
      <c r="I36" s="2">
        <f t="shared" si="1"/>
        <v>0</v>
      </c>
      <c r="J36" s="2">
        <f t="shared" si="2"/>
        <v>0</v>
      </c>
      <c r="K36" s="2">
        <f t="shared" si="3"/>
        <v>0</v>
      </c>
      <c r="L36" s="2">
        <f t="shared" si="4"/>
        <v>0</v>
      </c>
      <c r="M36" s="2">
        <f t="shared" si="5"/>
        <v>0</v>
      </c>
      <c r="N36" s="2">
        <f t="shared" si="6"/>
        <v>0</v>
      </c>
    </row>
    <row r="37" spans="1:14" x14ac:dyDescent="0.3">
      <c r="A37" s="3" t="s">
        <v>15</v>
      </c>
      <c r="B37" s="3">
        <v>20</v>
      </c>
      <c r="C37" s="3" t="s">
        <v>8</v>
      </c>
      <c r="D37" s="4" t="s">
        <v>11</v>
      </c>
      <c r="E37" s="4" t="s">
        <v>11</v>
      </c>
      <c r="F37" s="4" t="s">
        <v>11</v>
      </c>
      <c r="G37" s="2">
        <v>755</v>
      </c>
      <c r="H37" s="2">
        <f t="shared" si="0"/>
        <v>0</v>
      </c>
      <c r="I37" s="2">
        <f t="shared" si="1"/>
        <v>1</v>
      </c>
      <c r="J37" s="2">
        <f t="shared" si="2"/>
        <v>0</v>
      </c>
      <c r="K37" s="2">
        <f t="shared" si="3"/>
        <v>0</v>
      </c>
      <c r="L37" s="2">
        <f t="shared" si="4"/>
        <v>0</v>
      </c>
      <c r="M37" s="2">
        <f t="shared" si="5"/>
        <v>0</v>
      </c>
      <c r="N37" s="2">
        <f t="shared" si="6"/>
        <v>0</v>
      </c>
    </row>
    <row r="38" spans="1:14" x14ac:dyDescent="0.3">
      <c r="A38" s="3" t="s">
        <v>15</v>
      </c>
      <c r="B38" s="3">
        <v>21</v>
      </c>
      <c r="C38" s="3" t="s">
        <v>10</v>
      </c>
      <c r="D38" s="4" t="s">
        <v>11</v>
      </c>
      <c r="E38" s="4" t="s">
        <v>11</v>
      </c>
      <c r="F38" s="4" t="s">
        <v>11</v>
      </c>
      <c r="G38" s="2">
        <v>788</v>
      </c>
      <c r="H38" s="2">
        <f t="shared" si="0"/>
        <v>0</v>
      </c>
      <c r="I38" s="2">
        <f t="shared" si="1"/>
        <v>0</v>
      </c>
      <c r="J38" s="2">
        <f t="shared" si="2"/>
        <v>1</v>
      </c>
      <c r="K38" s="2">
        <f t="shared" si="3"/>
        <v>0</v>
      </c>
      <c r="L38" s="2">
        <f t="shared" si="4"/>
        <v>0</v>
      </c>
      <c r="M38" s="2">
        <f t="shared" si="5"/>
        <v>0</v>
      </c>
      <c r="N38" s="2">
        <f t="shared" si="6"/>
        <v>0</v>
      </c>
    </row>
    <row r="39" spans="1:14" x14ac:dyDescent="0.3">
      <c r="A39" s="3" t="s">
        <v>15</v>
      </c>
      <c r="B39" s="3">
        <v>22</v>
      </c>
      <c r="C39" s="3" t="s">
        <v>12</v>
      </c>
      <c r="D39" s="4" t="s">
        <v>11</v>
      </c>
      <c r="E39" s="4" t="s">
        <v>11</v>
      </c>
      <c r="F39" s="4" t="s">
        <v>11</v>
      </c>
      <c r="G39" s="2">
        <v>702</v>
      </c>
      <c r="H39" s="2">
        <f t="shared" si="0"/>
        <v>0</v>
      </c>
      <c r="I39" s="2">
        <f t="shared" si="1"/>
        <v>0</v>
      </c>
      <c r="J39" s="2">
        <f t="shared" si="2"/>
        <v>0</v>
      </c>
      <c r="K39" s="2">
        <f t="shared" si="3"/>
        <v>1</v>
      </c>
      <c r="L39" s="2">
        <f t="shared" si="4"/>
        <v>0</v>
      </c>
      <c r="M39" s="2">
        <f t="shared" si="5"/>
        <v>0</v>
      </c>
      <c r="N39" s="2">
        <f t="shared" si="6"/>
        <v>0</v>
      </c>
    </row>
    <row r="40" spans="1:14" x14ac:dyDescent="0.3">
      <c r="A40" s="3" t="s">
        <v>15</v>
      </c>
      <c r="B40" s="3">
        <v>23</v>
      </c>
      <c r="C40" s="3" t="s">
        <v>13</v>
      </c>
      <c r="D40" s="4" t="s">
        <v>11</v>
      </c>
      <c r="E40" s="4" t="s">
        <v>11</v>
      </c>
      <c r="F40" s="4" t="s">
        <v>11</v>
      </c>
      <c r="G40" s="2">
        <v>1037</v>
      </c>
      <c r="H40" s="2">
        <f t="shared" si="0"/>
        <v>0</v>
      </c>
      <c r="I40" s="2">
        <f t="shared" si="1"/>
        <v>0</v>
      </c>
      <c r="J40" s="2">
        <f t="shared" si="2"/>
        <v>0</v>
      </c>
      <c r="K40" s="2">
        <f t="shared" si="3"/>
        <v>0</v>
      </c>
      <c r="L40" s="2">
        <f t="shared" si="4"/>
        <v>0</v>
      </c>
      <c r="M40" s="2">
        <f t="shared" si="5"/>
        <v>0</v>
      </c>
      <c r="N40" s="2">
        <f t="shared" si="6"/>
        <v>0</v>
      </c>
    </row>
    <row r="41" spans="1:14" x14ac:dyDescent="0.3">
      <c r="A41" s="3" t="s">
        <v>15</v>
      </c>
      <c r="B41" s="3">
        <v>26</v>
      </c>
      <c r="C41" s="3" t="s">
        <v>14</v>
      </c>
      <c r="D41" s="4" t="s">
        <v>11</v>
      </c>
      <c r="E41" s="4" t="s">
        <v>11</v>
      </c>
      <c r="F41" s="4" t="s">
        <v>11</v>
      </c>
      <c r="G41" s="2">
        <v>931</v>
      </c>
      <c r="H41" s="2">
        <f t="shared" si="0"/>
        <v>1</v>
      </c>
      <c r="I41" s="2">
        <f t="shared" si="1"/>
        <v>0</v>
      </c>
      <c r="J41" s="2">
        <f t="shared" si="2"/>
        <v>0</v>
      </c>
      <c r="K41" s="2">
        <f t="shared" si="3"/>
        <v>0</v>
      </c>
      <c r="L41" s="2">
        <f t="shared" si="4"/>
        <v>0</v>
      </c>
      <c r="M41" s="2">
        <f t="shared" si="5"/>
        <v>0</v>
      </c>
      <c r="N41" s="2">
        <f t="shared" si="6"/>
        <v>0</v>
      </c>
    </row>
    <row r="42" spans="1:14" x14ac:dyDescent="0.3">
      <c r="A42" s="3" t="s">
        <v>15</v>
      </c>
      <c r="B42" s="3">
        <v>27</v>
      </c>
      <c r="C42" s="3" t="s">
        <v>8</v>
      </c>
      <c r="D42" s="4" t="s">
        <v>11</v>
      </c>
      <c r="E42" s="4" t="s">
        <v>11</v>
      </c>
      <c r="F42" s="4" t="s">
        <v>11</v>
      </c>
      <c r="G42" s="2">
        <v>719</v>
      </c>
      <c r="H42" s="2">
        <f t="shared" si="0"/>
        <v>0</v>
      </c>
      <c r="I42" s="2">
        <f t="shared" si="1"/>
        <v>1</v>
      </c>
      <c r="J42" s="2">
        <f t="shared" si="2"/>
        <v>0</v>
      </c>
      <c r="K42" s="2">
        <f t="shared" si="3"/>
        <v>0</v>
      </c>
      <c r="L42" s="2">
        <f t="shared" si="4"/>
        <v>0</v>
      </c>
      <c r="M42" s="2">
        <f t="shared" si="5"/>
        <v>0</v>
      </c>
      <c r="N42" s="2">
        <f t="shared" si="6"/>
        <v>0</v>
      </c>
    </row>
    <row r="43" spans="1:14" x14ac:dyDescent="0.3">
      <c r="A43" s="3" t="s">
        <v>15</v>
      </c>
      <c r="B43" s="3">
        <v>28</v>
      </c>
      <c r="C43" s="3" t="s">
        <v>10</v>
      </c>
      <c r="D43" s="4" t="s">
        <v>11</v>
      </c>
      <c r="E43" s="4" t="s">
        <v>11</v>
      </c>
      <c r="F43" s="4" t="s">
        <v>11</v>
      </c>
      <c r="G43" s="2">
        <v>811</v>
      </c>
      <c r="H43" s="2">
        <f t="shared" si="0"/>
        <v>0</v>
      </c>
      <c r="I43" s="2">
        <f t="shared" si="1"/>
        <v>0</v>
      </c>
      <c r="J43" s="2">
        <f t="shared" si="2"/>
        <v>1</v>
      </c>
      <c r="K43" s="2">
        <f t="shared" si="3"/>
        <v>0</v>
      </c>
      <c r="L43" s="2">
        <f t="shared" si="4"/>
        <v>0</v>
      </c>
      <c r="M43" s="2">
        <f t="shared" si="5"/>
        <v>0</v>
      </c>
      <c r="N43" s="2">
        <f t="shared" si="6"/>
        <v>0</v>
      </c>
    </row>
    <row r="44" spans="1:14" x14ac:dyDescent="0.3">
      <c r="A44" s="3" t="s">
        <v>16</v>
      </c>
      <c r="B44" s="3">
        <v>1</v>
      </c>
      <c r="C44" s="3" t="s">
        <v>12</v>
      </c>
      <c r="D44" s="4" t="s">
        <v>11</v>
      </c>
      <c r="E44" s="4" t="s">
        <v>9</v>
      </c>
      <c r="F44" s="4" t="s">
        <v>11</v>
      </c>
      <c r="G44" s="2">
        <v>1383</v>
      </c>
      <c r="H44" s="2">
        <f t="shared" si="0"/>
        <v>0</v>
      </c>
      <c r="I44" s="2">
        <f t="shared" si="1"/>
        <v>0</v>
      </c>
      <c r="J44" s="2">
        <f t="shared" si="2"/>
        <v>0</v>
      </c>
      <c r="K44" s="2">
        <f t="shared" si="3"/>
        <v>1</v>
      </c>
      <c r="L44" s="2">
        <f t="shared" si="4"/>
        <v>0</v>
      </c>
      <c r="M44" s="2">
        <f t="shared" si="5"/>
        <v>1</v>
      </c>
      <c r="N44" s="2">
        <f t="shared" si="6"/>
        <v>0</v>
      </c>
    </row>
    <row r="45" spans="1:14" x14ac:dyDescent="0.3">
      <c r="A45" s="3" t="s">
        <v>16</v>
      </c>
      <c r="B45" s="3">
        <v>2</v>
      </c>
      <c r="C45" s="3" t="s">
        <v>13</v>
      </c>
      <c r="D45" s="4" t="s">
        <v>9</v>
      </c>
      <c r="E45" s="4" t="s">
        <v>11</v>
      </c>
      <c r="F45" s="4" t="s">
        <v>11</v>
      </c>
      <c r="G45" s="2">
        <v>2022</v>
      </c>
      <c r="H45" s="2">
        <f t="shared" si="0"/>
        <v>0</v>
      </c>
      <c r="I45" s="2">
        <f t="shared" si="1"/>
        <v>0</v>
      </c>
      <c r="J45" s="2">
        <f t="shared" si="2"/>
        <v>0</v>
      </c>
      <c r="K45" s="2">
        <f t="shared" si="3"/>
        <v>0</v>
      </c>
      <c r="L45" s="2">
        <f t="shared" si="4"/>
        <v>1</v>
      </c>
      <c r="M45" s="2">
        <f t="shared" si="5"/>
        <v>0</v>
      </c>
      <c r="N45" s="2">
        <f t="shared" si="6"/>
        <v>0</v>
      </c>
    </row>
    <row r="46" spans="1:14" x14ac:dyDescent="0.3">
      <c r="A46" s="3" t="s">
        <v>16</v>
      </c>
      <c r="B46" s="3">
        <v>5</v>
      </c>
      <c r="C46" s="3" t="s">
        <v>14</v>
      </c>
      <c r="D46" s="4" t="s">
        <v>11</v>
      </c>
      <c r="E46" s="4" t="s">
        <v>11</v>
      </c>
      <c r="F46" s="4" t="s">
        <v>11</v>
      </c>
      <c r="G46" s="2">
        <v>1130</v>
      </c>
      <c r="H46" s="2">
        <f t="shared" si="0"/>
        <v>1</v>
      </c>
      <c r="I46" s="2">
        <f t="shared" si="1"/>
        <v>0</v>
      </c>
      <c r="J46" s="2">
        <f t="shared" si="2"/>
        <v>0</v>
      </c>
      <c r="K46" s="2">
        <f t="shared" si="3"/>
        <v>0</v>
      </c>
      <c r="L46" s="2">
        <f t="shared" si="4"/>
        <v>0</v>
      </c>
      <c r="M46" s="2">
        <f t="shared" si="5"/>
        <v>0</v>
      </c>
      <c r="N46" s="2">
        <f t="shared" si="6"/>
        <v>0</v>
      </c>
    </row>
    <row r="47" spans="1:14" x14ac:dyDescent="0.3">
      <c r="A47" s="3" t="s">
        <v>16</v>
      </c>
      <c r="B47" s="3">
        <v>6</v>
      </c>
      <c r="C47" s="3" t="s">
        <v>8</v>
      </c>
      <c r="D47" s="4" t="s">
        <v>11</v>
      </c>
      <c r="E47" s="4" t="s">
        <v>11</v>
      </c>
      <c r="F47" s="4" t="s">
        <v>11</v>
      </c>
      <c r="G47" s="2">
        <v>798</v>
      </c>
      <c r="H47" s="2">
        <f t="shared" si="0"/>
        <v>0</v>
      </c>
      <c r="I47" s="2">
        <f t="shared" si="1"/>
        <v>1</v>
      </c>
      <c r="J47" s="2">
        <f t="shared" si="2"/>
        <v>0</v>
      </c>
      <c r="K47" s="2">
        <f t="shared" si="3"/>
        <v>0</v>
      </c>
      <c r="L47" s="2">
        <f t="shared" si="4"/>
        <v>0</v>
      </c>
      <c r="M47" s="2">
        <f t="shared" si="5"/>
        <v>0</v>
      </c>
      <c r="N47" s="2">
        <f t="shared" si="6"/>
        <v>0</v>
      </c>
    </row>
    <row r="48" spans="1:14" x14ac:dyDescent="0.3">
      <c r="A48" s="3" t="s">
        <v>16</v>
      </c>
      <c r="B48" s="3">
        <v>7</v>
      </c>
      <c r="C48" s="3" t="s">
        <v>10</v>
      </c>
      <c r="D48" s="4" t="s">
        <v>11</v>
      </c>
      <c r="E48" s="4" t="s">
        <v>11</v>
      </c>
      <c r="F48" s="4" t="s">
        <v>11</v>
      </c>
      <c r="G48" s="2">
        <v>885</v>
      </c>
      <c r="H48" s="2">
        <f t="shared" si="0"/>
        <v>0</v>
      </c>
      <c r="I48" s="2">
        <f t="shared" si="1"/>
        <v>0</v>
      </c>
      <c r="J48" s="2">
        <f t="shared" si="2"/>
        <v>1</v>
      </c>
      <c r="K48" s="2">
        <f t="shared" si="3"/>
        <v>0</v>
      </c>
      <c r="L48" s="2">
        <f t="shared" si="4"/>
        <v>0</v>
      </c>
      <c r="M48" s="2">
        <f t="shared" si="5"/>
        <v>0</v>
      </c>
      <c r="N48" s="2">
        <f t="shared" si="6"/>
        <v>0</v>
      </c>
    </row>
    <row r="49" spans="1:14" x14ac:dyDescent="0.3">
      <c r="A49" s="3" t="s">
        <v>16</v>
      </c>
      <c r="B49" s="3">
        <v>8</v>
      </c>
      <c r="C49" s="3" t="s">
        <v>12</v>
      </c>
      <c r="D49" s="4" t="s">
        <v>11</v>
      </c>
      <c r="E49" s="4" t="s">
        <v>11</v>
      </c>
      <c r="F49" s="4" t="s">
        <v>11</v>
      </c>
      <c r="G49" s="2">
        <v>983</v>
      </c>
      <c r="H49" s="2">
        <f t="shared" si="0"/>
        <v>0</v>
      </c>
      <c r="I49" s="2">
        <f t="shared" si="1"/>
        <v>0</v>
      </c>
      <c r="J49" s="2">
        <f t="shared" si="2"/>
        <v>0</v>
      </c>
      <c r="K49" s="2">
        <f t="shared" si="3"/>
        <v>1</v>
      </c>
      <c r="L49" s="2">
        <f t="shared" si="4"/>
        <v>0</v>
      </c>
      <c r="M49" s="2">
        <f t="shared" si="5"/>
        <v>0</v>
      </c>
      <c r="N49" s="2">
        <f t="shared" si="6"/>
        <v>0</v>
      </c>
    </row>
    <row r="50" spans="1:14" x14ac:dyDescent="0.3">
      <c r="A50" s="3" t="s">
        <v>16</v>
      </c>
      <c r="B50" s="3">
        <v>9</v>
      </c>
      <c r="C50" s="3" t="s">
        <v>13</v>
      </c>
      <c r="D50" s="4" t="s">
        <v>11</v>
      </c>
      <c r="E50" s="4" t="s">
        <v>11</v>
      </c>
      <c r="F50" s="4" t="s">
        <v>11</v>
      </c>
      <c r="G50" s="2">
        <v>1439</v>
      </c>
      <c r="H50" s="2">
        <f t="shared" si="0"/>
        <v>0</v>
      </c>
      <c r="I50" s="2">
        <f t="shared" si="1"/>
        <v>0</v>
      </c>
      <c r="J50" s="2">
        <f t="shared" si="2"/>
        <v>0</v>
      </c>
      <c r="K50" s="2">
        <f t="shared" si="3"/>
        <v>0</v>
      </c>
      <c r="L50" s="2">
        <f t="shared" si="4"/>
        <v>0</v>
      </c>
      <c r="M50" s="2">
        <f t="shared" si="5"/>
        <v>0</v>
      </c>
      <c r="N50" s="2">
        <f t="shared" si="6"/>
        <v>0</v>
      </c>
    </row>
    <row r="51" spans="1:14" x14ac:dyDescent="0.3">
      <c r="A51" s="3" t="s">
        <v>16</v>
      </c>
      <c r="B51" s="3">
        <v>12</v>
      </c>
      <c r="C51" s="3" t="s">
        <v>14</v>
      </c>
      <c r="D51" s="4" t="s">
        <v>11</v>
      </c>
      <c r="E51" s="4" t="s">
        <v>11</v>
      </c>
      <c r="F51" s="4" t="s">
        <v>11</v>
      </c>
      <c r="G51" s="2">
        <v>973</v>
      </c>
      <c r="H51" s="2">
        <f t="shared" si="0"/>
        <v>1</v>
      </c>
      <c r="I51" s="2">
        <f t="shared" si="1"/>
        <v>0</v>
      </c>
      <c r="J51" s="2">
        <f t="shared" si="2"/>
        <v>0</v>
      </c>
      <c r="K51" s="2">
        <f t="shared" si="3"/>
        <v>0</v>
      </c>
      <c r="L51" s="2">
        <f t="shared" si="4"/>
        <v>0</v>
      </c>
      <c r="M51" s="2">
        <f t="shared" si="5"/>
        <v>0</v>
      </c>
      <c r="N51" s="2">
        <f t="shared" si="6"/>
        <v>0</v>
      </c>
    </row>
    <row r="52" spans="1:14" x14ac:dyDescent="0.3">
      <c r="A52" s="3" t="s">
        <v>16</v>
      </c>
      <c r="B52" s="3">
        <v>13</v>
      </c>
      <c r="C52" s="3" t="s">
        <v>8</v>
      </c>
      <c r="D52" s="4" t="s">
        <v>11</v>
      </c>
      <c r="E52" s="4" t="s">
        <v>11</v>
      </c>
      <c r="F52" s="4" t="s">
        <v>11</v>
      </c>
      <c r="G52" s="2">
        <v>725</v>
      </c>
      <c r="H52" s="2">
        <f t="shared" si="0"/>
        <v>0</v>
      </c>
      <c r="I52" s="2">
        <f t="shared" si="1"/>
        <v>1</v>
      </c>
      <c r="J52" s="2">
        <f t="shared" si="2"/>
        <v>0</v>
      </c>
      <c r="K52" s="2">
        <f t="shared" si="3"/>
        <v>0</v>
      </c>
      <c r="L52" s="2">
        <f t="shared" si="4"/>
        <v>0</v>
      </c>
      <c r="M52" s="2">
        <f t="shared" si="5"/>
        <v>0</v>
      </c>
      <c r="N52" s="2">
        <f t="shared" si="6"/>
        <v>0</v>
      </c>
    </row>
    <row r="53" spans="1:14" x14ac:dyDescent="0.3">
      <c r="A53" s="3" t="s">
        <v>16</v>
      </c>
      <c r="B53" s="3">
        <v>14</v>
      </c>
      <c r="C53" s="3" t="s">
        <v>10</v>
      </c>
      <c r="D53" s="4" t="s">
        <v>11</v>
      </c>
      <c r="E53" s="4" t="s">
        <v>11</v>
      </c>
      <c r="F53" s="4" t="s">
        <v>11</v>
      </c>
      <c r="G53" s="2">
        <v>681</v>
      </c>
      <c r="H53" s="2">
        <f t="shared" si="0"/>
        <v>0</v>
      </c>
      <c r="I53" s="2">
        <f t="shared" si="1"/>
        <v>0</v>
      </c>
      <c r="J53" s="2">
        <f t="shared" si="2"/>
        <v>1</v>
      </c>
      <c r="K53" s="2">
        <f t="shared" si="3"/>
        <v>0</v>
      </c>
      <c r="L53" s="2">
        <f t="shared" si="4"/>
        <v>0</v>
      </c>
      <c r="M53" s="2">
        <f t="shared" si="5"/>
        <v>0</v>
      </c>
      <c r="N53" s="2">
        <f t="shared" si="6"/>
        <v>0</v>
      </c>
    </row>
    <row r="54" spans="1:14" x14ac:dyDescent="0.3">
      <c r="A54" s="3" t="s">
        <v>16</v>
      </c>
      <c r="B54" s="3">
        <v>15</v>
      </c>
      <c r="C54" s="3" t="s">
        <v>12</v>
      </c>
      <c r="D54" s="4" t="s">
        <v>11</v>
      </c>
      <c r="E54" s="4" t="s">
        <v>11</v>
      </c>
      <c r="F54" s="4" t="s">
        <v>11</v>
      </c>
      <c r="G54" s="2">
        <v>840</v>
      </c>
      <c r="H54" s="2">
        <f t="shared" si="0"/>
        <v>0</v>
      </c>
      <c r="I54" s="2">
        <f t="shared" si="1"/>
        <v>0</v>
      </c>
      <c r="J54" s="2">
        <f t="shared" si="2"/>
        <v>0</v>
      </c>
      <c r="K54" s="2">
        <f t="shared" si="3"/>
        <v>1</v>
      </c>
      <c r="L54" s="2">
        <f t="shared" si="4"/>
        <v>0</v>
      </c>
      <c r="M54" s="2">
        <f t="shared" si="5"/>
        <v>0</v>
      </c>
      <c r="N54" s="2">
        <f t="shared" si="6"/>
        <v>0</v>
      </c>
    </row>
    <row r="55" spans="1:14" x14ac:dyDescent="0.3">
      <c r="A55" s="3" t="s">
        <v>16</v>
      </c>
      <c r="B55" s="3">
        <v>16</v>
      </c>
      <c r="C55" s="3" t="s">
        <v>13</v>
      </c>
      <c r="D55" s="4" t="s">
        <v>9</v>
      </c>
      <c r="E55" s="4" t="s">
        <v>11</v>
      </c>
      <c r="F55" s="4" t="s">
        <v>11</v>
      </c>
      <c r="G55" s="2">
        <v>1491</v>
      </c>
      <c r="H55" s="2">
        <f t="shared" si="0"/>
        <v>0</v>
      </c>
      <c r="I55" s="2">
        <f t="shared" si="1"/>
        <v>0</v>
      </c>
      <c r="J55" s="2">
        <f t="shared" si="2"/>
        <v>0</v>
      </c>
      <c r="K55" s="2">
        <f t="shared" si="3"/>
        <v>0</v>
      </c>
      <c r="L55" s="2">
        <f t="shared" si="4"/>
        <v>1</v>
      </c>
      <c r="M55" s="2">
        <f t="shared" si="5"/>
        <v>0</v>
      </c>
      <c r="N55" s="2">
        <f t="shared" si="6"/>
        <v>0</v>
      </c>
    </row>
    <row r="56" spans="1:14" x14ac:dyDescent="0.3">
      <c r="A56" s="3" t="s">
        <v>16</v>
      </c>
      <c r="B56" s="3">
        <v>19</v>
      </c>
      <c r="C56" s="3" t="s">
        <v>14</v>
      </c>
      <c r="D56" s="4" t="s">
        <v>11</v>
      </c>
      <c r="E56" s="4" t="s">
        <v>11</v>
      </c>
      <c r="F56" s="4" t="s">
        <v>11</v>
      </c>
      <c r="G56" s="2">
        <v>1050</v>
      </c>
      <c r="H56" s="2">
        <f t="shared" si="0"/>
        <v>1</v>
      </c>
      <c r="I56" s="2">
        <f t="shared" si="1"/>
        <v>0</v>
      </c>
      <c r="J56" s="2">
        <f t="shared" si="2"/>
        <v>0</v>
      </c>
      <c r="K56" s="2">
        <f t="shared" si="3"/>
        <v>0</v>
      </c>
      <c r="L56" s="2">
        <f t="shared" si="4"/>
        <v>0</v>
      </c>
      <c r="M56" s="2">
        <f t="shared" si="5"/>
        <v>0</v>
      </c>
      <c r="N56" s="2">
        <f t="shared" si="6"/>
        <v>0</v>
      </c>
    </row>
    <row r="57" spans="1:14" x14ac:dyDescent="0.3">
      <c r="A57" s="3" t="s">
        <v>16</v>
      </c>
      <c r="B57" s="3">
        <v>20</v>
      </c>
      <c r="C57" s="3" t="s">
        <v>8</v>
      </c>
      <c r="D57" s="4" t="s">
        <v>11</v>
      </c>
      <c r="E57" s="4" t="s">
        <v>11</v>
      </c>
      <c r="F57" s="4" t="s">
        <v>11</v>
      </c>
      <c r="G57" s="2">
        <v>779</v>
      </c>
      <c r="H57" s="2">
        <f t="shared" si="0"/>
        <v>0</v>
      </c>
      <c r="I57" s="2">
        <f t="shared" si="1"/>
        <v>1</v>
      </c>
      <c r="J57" s="2">
        <f t="shared" si="2"/>
        <v>0</v>
      </c>
      <c r="K57" s="2">
        <f t="shared" si="3"/>
        <v>0</v>
      </c>
      <c r="L57" s="2">
        <f t="shared" si="4"/>
        <v>0</v>
      </c>
      <c r="M57" s="2">
        <f t="shared" si="5"/>
        <v>0</v>
      </c>
      <c r="N57" s="2">
        <f t="shared" si="6"/>
        <v>0</v>
      </c>
    </row>
    <row r="58" spans="1:14" x14ac:dyDescent="0.3">
      <c r="A58" s="3" t="s">
        <v>16</v>
      </c>
      <c r="B58" s="3">
        <v>21</v>
      </c>
      <c r="C58" s="3" t="s">
        <v>10</v>
      </c>
      <c r="D58" s="4" t="s">
        <v>11</v>
      </c>
      <c r="E58" s="4" t="s">
        <v>11</v>
      </c>
      <c r="F58" s="4" t="s">
        <v>11</v>
      </c>
      <c r="G58" s="2">
        <v>686</v>
      </c>
      <c r="H58" s="2">
        <f t="shared" si="0"/>
        <v>0</v>
      </c>
      <c r="I58" s="2">
        <f t="shared" si="1"/>
        <v>0</v>
      </c>
      <c r="J58" s="2">
        <f t="shared" si="2"/>
        <v>1</v>
      </c>
      <c r="K58" s="2">
        <f t="shared" si="3"/>
        <v>0</v>
      </c>
      <c r="L58" s="2">
        <f t="shared" si="4"/>
        <v>0</v>
      </c>
      <c r="M58" s="2">
        <f t="shared" si="5"/>
        <v>0</v>
      </c>
      <c r="N58" s="2">
        <f t="shared" si="6"/>
        <v>0</v>
      </c>
    </row>
    <row r="59" spans="1:14" x14ac:dyDescent="0.3">
      <c r="A59" s="3" t="s">
        <v>16</v>
      </c>
      <c r="B59" s="3">
        <v>22</v>
      </c>
      <c r="C59" s="3" t="s">
        <v>12</v>
      </c>
      <c r="D59" s="4" t="s">
        <v>11</v>
      </c>
      <c r="E59" s="4" t="s">
        <v>11</v>
      </c>
      <c r="F59" s="4" t="s">
        <v>11</v>
      </c>
      <c r="G59" s="2">
        <v>663</v>
      </c>
      <c r="H59" s="2">
        <f t="shared" si="0"/>
        <v>0</v>
      </c>
      <c r="I59" s="2">
        <f t="shared" si="1"/>
        <v>0</v>
      </c>
      <c r="J59" s="2">
        <f t="shared" si="2"/>
        <v>0</v>
      </c>
      <c r="K59" s="2">
        <f t="shared" si="3"/>
        <v>1</v>
      </c>
      <c r="L59" s="2">
        <f t="shared" si="4"/>
        <v>0</v>
      </c>
      <c r="M59" s="2">
        <f t="shared" si="5"/>
        <v>0</v>
      </c>
      <c r="N59" s="2">
        <f t="shared" si="6"/>
        <v>0</v>
      </c>
    </row>
    <row r="60" spans="1:14" x14ac:dyDescent="0.3">
      <c r="A60" s="3" t="s">
        <v>16</v>
      </c>
      <c r="B60" s="3">
        <v>23</v>
      </c>
      <c r="C60" s="3" t="s">
        <v>13</v>
      </c>
      <c r="D60" s="4" t="s">
        <v>11</v>
      </c>
      <c r="E60" s="4" t="s">
        <v>11</v>
      </c>
      <c r="F60" s="4" t="s">
        <v>11</v>
      </c>
      <c r="G60" s="2">
        <v>1059</v>
      </c>
      <c r="H60" s="2">
        <f t="shared" si="0"/>
        <v>0</v>
      </c>
      <c r="I60" s="2">
        <f t="shared" si="1"/>
        <v>0</v>
      </c>
      <c r="J60" s="2">
        <f t="shared" si="2"/>
        <v>0</v>
      </c>
      <c r="K60" s="2">
        <f t="shared" si="3"/>
        <v>0</v>
      </c>
      <c r="L60" s="2">
        <f t="shared" si="4"/>
        <v>0</v>
      </c>
      <c r="M60" s="2">
        <f t="shared" si="5"/>
        <v>0</v>
      </c>
      <c r="N60" s="2">
        <f t="shared" si="6"/>
        <v>0</v>
      </c>
    </row>
    <row r="61" spans="1:14" x14ac:dyDescent="0.3">
      <c r="A61" s="3" t="s">
        <v>16</v>
      </c>
      <c r="B61" s="3">
        <v>26</v>
      </c>
      <c r="C61" s="3" t="s">
        <v>14</v>
      </c>
      <c r="D61" s="4" t="s">
        <v>11</v>
      </c>
      <c r="E61" s="4" t="s">
        <v>11</v>
      </c>
      <c r="F61" s="4" t="s">
        <v>11</v>
      </c>
      <c r="G61" s="2">
        <v>1005</v>
      </c>
      <c r="H61" s="2">
        <f t="shared" si="0"/>
        <v>1</v>
      </c>
      <c r="I61" s="2">
        <f t="shared" si="1"/>
        <v>0</v>
      </c>
      <c r="J61" s="2">
        <f t="shared" si="2"/>
        <v>0</v>
      </c>
      <c r="K61" s="2">
        <f t="shared" si="3"/>
        <v>0</v>
      </c>
      <c r="L61" s="2">
        <f t="shared" si="4"/>
        <v>0</v>
      </c>
      <c r="M61" s="2">
        <f t="shared" si="5"/>
        <v>0</v>
      </c>
      <c r="N61" s="2">
        <f t="shared" si="6"/>
        <v>0</v>
      </c>
    </row>
    <row r="62" spans="1:14" x14ac:dyDescent="0.3">
      <c r="A62" s="3" t="s">
        <v>16</v>
      </c>
      <c r="B62" s="3">
        <v>27</v>
      </c>
      <c r="C62" s="3" t="s">
        <v>8</v>
      </c>
      <c r="D62" s="4" t="s">
        <v>11</v>
      </c>
      <c r="E62" s="4" t="s">
        <v>11</v>
      </c>
      <c r="F62" s="4" t="s">
        <v>11</v>
      </c>
      <c r="G62" s="2">
        <v>704</v>
      </c>
      <c r="H62" s="2">
        <f t="shared" si="0"/>
        <v>0</v>
      </c>
      <c r="I62" s="2">
        <f t="shared" si="1"/>
        <v>1</v>
      </c>
      <c r="J62" s="2">
        <f t="shared" si="2"/>
        <v>0</v>
      </c>
      <c r="K62" s="2">
        <f t="shared" si="3"/>
        <v>0</v>
      </c>
      <c r="L62" s="2">
        <f t="shared" si="4"/>
        <v>0</v>
      </c>
      <c r="M62" s="2">
        <f t="shared" si="5"/>
        <v>0</v>
      </c>
      <c r="N62" s="2">
        <f t="shared" si="6"/>
        <v>0</v>
      </c>
    </row>
    <row r="63" spans="1:14" x14ac:dyDescent="0.3">
      <c r="A63" s="3" t="s">
        <v>16</v>
      </c>
      <c r="B63" s="3">
        <v>28</v>
      </c>
      <c r="C63" s="3" t="s">
        <v>10</v>
      </c>
      <c r="D63" s="4" t="s">
        <v>11</v>
      </c>
      <c r="E63" s="4" t="s">
        <v>11</v>
      </c>
      <c r="F63" s="4" t="s">
        <v>11</v>
      </c>
      <c r="G63" s="2">
        <v>732</v>
      </c>
      <c r="H63" s="2">
        <f t="shared" si="0"/>
        <v>0</v>
      </c>
      <c r="I63" s="2">
        <f t="shared" si="1"/>
        <v>0</v>
      </c>
      <c r="J63" s="2">
        <f t="shared" si="2"/>
        <v>1</v>
      </c>
      <c r="K63" s="2">
        <f t="shared" si="3"/>
        <v>0</v>
      </c>
      <c r="L63" s="2">
        <f t="shared" si="4"/>
        <v>0</v>
      </c>
      <c r="M63" s="2">
        <f t="shared" si="5"/>
        <v>0</v>
      </c>
      <c r="N63" s="2">
        <f t="shared" si="6"/>
        <v>0</v>
      </c>
    </row>
    <row r="64" spans="1:14" x14ac:dyDescent="0.3">
      <c r="A64" s="3" t="s">
        <v>16</v>
      </c>
      <c r="B64" s="3">
        <v>29</v>
      </c>
      <c r="C64" s="3" t="s">
        <v>12</v>
      </c>
      <c r="D64" s="4" t="s">
        <v>11</v>
      </c>
      <c r="E64" s="4" t="s">
        <v>11</v>
      </c>
      <c r="F64" s="4" t="s">
        <v>11</v>
      </c>
      <c r="G64" s="2">
        <v>738</v>
      </c>
      <c r="H64" s="2">
        <f t="shared" si="0"/>
        <v>0</v>
      </c>
      <c r="I64" s="2">
        <f t="shared" si="1"/>
        <v>0</v>
      </c>
      <c r="J64" s="2">
        <f t="shared" si="2"/>
        <v>0</v>
      </c>
      <c r="K64" s="2">
        <f t="shared" si="3"/>
        <v>1</v>
      </c>
      <c r="L64" s="2">
        <f t="shared" si="4"/>
        <v>0</v>
      </c>
      <c r="M64" s="2">
        <f t="shared" si="5"/>
        <v>0</v>
      </c>
      <c r="N64" s="2">
        <f t="shared" si="6"/>
        <v>0</v>
      </c>
    </row>
    <row r="65" spans="1:14" x14ac:dyDescent="0.3">
      <c r="A65" s="3" t="s">
        <v>16</v>
      </c>
      <c r="B65" s="3">
        <v>30</v>
      </c>
      <c r="C65" s="3" t="s">
        <v>13</v>
      </c>
      <c r="D65" s="4" t="s">
        <v>9</v>
      </c>
      <c r="E65" s="4" t="s">
        <v>9</v>
      </c>
      <c r="F65" s="4" t="s">
        <v>11</v>
      </c>
      <c r="G65" s="2">
        <v>1867</v>
      </c>
      <c r="H65" s="2">
        <f t="shared" si="0"/>
        <v>0</v>
      </c>
      <c r="I65" s="2">
        <f t="shared" si="1"/>
        <v>0</v>
      </c>
      <c r="J65" s="2">
        <f t="shared" si="2"/>
        <v>0</v>
      </c>
      <c r="K65" s="2">
        <f t="shared" si="3"/>
        <v>0</v>
      </c>
      <c r="L65" s="2">
        <f t="shared" si="4"/>
        <v>1</v>
      </c>
      <c r="M65" s="2">
        <f t="shared" si="5"/>
        <v>1</v>
      </c>
      <c r="N65" s="2">
        <f t="shared" si="6"/>
        <v>0</v>
      </c>
    </row>
    <row r="66" spans="1:14" x14ac:dyDescent="0.3">
      <c r="A66" s="3" t="s">
        <v>17</v>
      </c>
      <c r="B66" s="3">
        <v>2</v>
      </c>
      <c r="C66" s="3" t="s">
        <v>14</v>
      </c>
      <c r="D66" s="4" t="s">
        <v>11</v>
      </c>
      <c r="E66" s="4" t="s">
        <v>11</v>
      </c>
      <c r="F66" s="4" t="s">
        <v>11</v>
      </c>
      <c r="G66" s="2">
        <v>1486</v>
      </c>
      <c r="H66" s="2">
        <f t="shared" si="0"/>
        <v>1</v>
      </c>
      <c r="I66" s="2">
        <f t="shared" si="1"/>
        <v>0</v>
      </c>
      <c r="J66" s="2">
        <f t="shared" si="2"/>
        <v>0</v>
      </c>
      <c r="K66" s="2">
        <f t="shared" si="3"/>
        <v>0</v>
      </c>
      <c r="L66" s="2">
        <f t="shared" si="4"/>
        <v>0</v>
      </c>
      <c r="M66" s="2">
        <f t="shared" si="5"/>
        <v>0</v>
      </c>
      <c r="N66" s="2">
        <f t="shared" si="6"/>
        <v>0</v>
      </c>
    </row>
    <row r="67" spans="1:14" x14ac:dyDescent="0.3">
      <c r="A67" s="3" t="s">
        <v>17</v>
      </c>
      <c r="B67" s="3">
        <v>3</v>
      </c>
      <c r="C67" s="3" t="s">
        <v>8</v>
      </c>
      <c r="D67" s="4" t="s">
        <v>11</v>
      </c>
      <c r="E67" s="4" t="s">
        <v>11</v>
      </c>
      <c r="F67" s="4" t="s">
        <v>11</v>
      </c>
      <c r="G67" s="2">
        <v>1155</v>
      </c>
      <c r="H67" s="2">
        <f t="shared" ref="H67:H130" si="7">IF(C67="Mon",1,0)</f>
        <v>0</v>
      </c>
      <c r="I67" s="2">
        <f t="shared" ref="I67:I130" si="8">IF(C67="Tue",1,0)</f>
        <v>1</v>
      </c>
      <c r="J67" s="2">
        <f t="shared" ref="J67:J130" si="9">IF(C67="Wed",1,0)</f>
        <v>0</v>
      </c>
      <c r="K67" s="2">
        <f t="shared" ref="K67:K130" si="10">IF(C67="Thu",1,0)</f>
        <v>0</v>
      </c>
      <c r="L67" s="2">
        <f t="shared" ref="L67:L130" si="11">IF(D67="Yes",1,0)</f>
        <v>0</v>
      </c>
      <c r="M67" s="2">
        <f t="shared" ref="M67:M130" si="12">IF(E67="Yes",1,0)</f>
        <v>0</v>
      </c>
      <c r="N67" s="2">
        <f t="shared" ref="N67:N130" si="13">IF(F67="Yes",1,0)</f>
        <v>0</v>
      </c>
    </row>
    <row r="68" spans="1:14" x14ac:dyDescent="0.3">
      <c r="A68" s="3" t="s">
        <v>17</v>
      </c>
      <c r="B68" s="3">
        <v>4</v>
      </c>
      <c r="C68" s="3" t="s">
        <v>10</v>
      </c>
      <c r="D68" s="4" t="s">
        <v>11</v>
      </c>
      <c r="E68" s="4" t="s">
        <v>11</v>
      </c>
      <c r="F68" s="4" t="s">
        <v>11</v>
      </c>
      <c r="G68" s="2">
        <v>871</v>
      </c>
      <c r="H68" s="2">
        <f t="shared" si="7"/>
        <v>0</v>
      </c>
      <c r="I68" s="2">
        <f t="shared" si="8"/>
        <v>0</v>
      </c>
      <c r="J68" s="2">
        <f t="shared" si="9"/>
        <v>1</v>
      </c>
      <c r="K68" s="2">
        <f t="shared" si="10"/>
        <v>0</v>
      </c>
      <c r="L68" s="2">
        <f t="shared" si="11"/>
        <v>0</v>
      </c>
      <c r="M68" s="2">
        <f t="shared" si="12"/>
        <v>0</v>
      </c>
      <c r="N68" s="2">
        <f t="shared" si="13"/>
        <v>0</v>
      </c>
    </row>
    <row r="69" spans="1:14" x14ac:dyDescent="0.3">
      <c r="A69" s="3" t="s">
        <v>17</v>
      </c>
      <c r="B69" s="3">
        <v>5</v>
      </c>
      <c r="C69" s="3" t="s">
        <v>12</v>
      </c>
      <c r="D69" s="4" t="s">
        <v>11</v>
      </c>
      <c r="E69" s="4" t="s">
        <v>11</v>
      </c>
      <c r="F69" s="4" t="s">
        <v>11</v>
      </c>
      <c r="G69" s="2">
        <v>832</v>
      </c>
      <c r="H69" s="2">
        <f t="shared" si="7"/>
        <v>0</v>
      </c>
      <c r="I69" s="2">
        <f t="shared" si="8"/>
        <v>0</v>
      </c>
      <c r="J69" s="2">
        <f t="shared" si="9"/>
        <v>0</v>
      </c>
      <c r="K69" s="2">
        <f t="shared" si="10"/>
        <v>1</v>
      </c>
      <c r="L69" s="2">
        <f t="shared" si="11"/>
        <v>0</v>
      </c>
      <c r="M69" s="2">
        <f t="shared" si="12"/>
        <v>0</v>
      </c>
      <c r="N69" s="2">
        <f t="shared" si="13"/>
        <v>0</v>
      </c>
    </row>
    <row r="70" spans="1:14" x14ac:dyDescent="0.3">
      <c r="A70" s="3" t="s">
        <v>17</v>
      </c>
      <c r="B70" s="3">
        <v>6</v>
      </c>
      <c r="C70" s="3" t="s">
        <v>13</v>
      </c>
      <c r="D70" s="4" t="s">
        <v>11</v>
      </c>
      <c r="E70" s="4" t="s">
        <v>11</v>
      </c>
      <c r="F70" s="4" t="s">
        <v>11</v>
      </c>
      <c r="G70" s="2">
        <v>1101</v>
      </c>
      <c r="H70" s="2">
        <f t="shared" si="7"/>
        <v>0</v>
      </c>
      <c r="I70" s="2">
        <f t="shared" si="8"/>
        <v>0</v>
      </c>
      <c r="J70" s="2">
        <f t="shared" si="9"/>
        <v>0</v>
      </c>
      <c r="K70" s="2">
        <f t="shared" si="10"/>
        <v>0</v>
      </c>
      <c r="L70" s="2">
        <f t="shared" si="11"/>
        <v>0</v>
      </c>
      <c r="M70" s="2">
        <f t="shared" si="12"/>
        <v>0</v>
      </c>
      <c r="N70" s="2">
        <f t="shared" si="13"/>
        <v>0</v>
      </c>
    </row>
    <row r="71" spans="1:14" x14ac:dyDescent="0.3">
      <c r="A71" s="3" t="s">
        <v>17</v>
      </c>
      <c r="B71" s="3">
        <v>9</v>
      </c>
      <c r="C71" s="3" t="s">
        <v>14</v>
      </c>
      <c r="D71" s="4" t="s">
        <v>11</v>
      </c>
      <c r="E71" s="4" t="s">
        <v>11</v>
      </c>
      <c r="F71" s="4" t="s">
        <v>11</v>
      </c>
      <c r="G71" s="2">
        <v>929</v>
      </c>
      <c r="H71" s="2">
        <f t="shared" si="7"/>
        <v>1</v>
      </c>
      <c r="I71" s="2">
        <f t="shared" si="8"/>
        <v>0</v>
      </c>
      <c r="J71" s="2">
        <f t="shared" si="9"/>
        <v>0</v>
      </c>
      <c r="K71" s="2">
        <f t="shared" si="10"/>
        <v>0</v>
      </c>
      <c r="L71" s="2">
        <f t="shared" si="11"/>
        <v>0</v>
      </c>
      <c r="M71" s="2">
        <f t="shared" si="12"/>
        <v>0</v>
      </c>
      <c r="N71" s="2">
        <f t="shared" si="13"/>
        <v>0</v>
      </c>
    </row>
    <row r="72" spans="1:14" x14ac:dyDescent="0.3">
      <c r="A72" s="3" t="s">
        <v>17</v>
      </c>
      <c r="B72" s="3">
        <v>10</v>
      </c>
      <c r="C72" s="3" t="s">
        <v>8</v>
      </c>
      <c r="D72" s="4" t="s">
        <v>11</v>
      </c>
      <c r="E72" s="4" t="s">
        <v>11</v>
      </c>
      <c r="F72" s="4" t="s">
        <v>11</v>
      </c>
      <c r="G72" s="2">
        <v>672</v>
      </c>
      <c r="H72" s="2">
        <f t="shared" si="7"/>
        <v>0</v>
      </c>
      <c r="I72" s="2">
        <f t="shared" si="8"/>
        <v>1</v>
      </c>
      <c r="J72" s="2">
        <f t="shared" si="9"/>
        <v>0</v>
      </c>
      <c r="K72" s="2">
        <f t="shared" si="10"/>
        <v>0</v>
      </c>
      <c r="L72" s="2">
        <f t="shared" si="11"/>
        <v>0</v>
      </c>
      <c r="M72" s="2">
        <f t="shared" si="12"/>
        <v>0</v>
      </c>
      <c r="N72" s="2">
        <f t="shared" si="13"/>
        <v>0</v>
      </c>
    </row>
    <row r="73" spans="1:14" x14ac:dyDescent="0.3">
      <c r="A73" s="3" t="s">
        <v>17</v>
      </c>
      <c r="B73" s="3">
        <v>11</v>
      </c>
      <c r="C73" s="3" t="s">
        <v>10</v>
      </c>
      <c r="D73" s="4" t="s">
        <v>11</v>
      </c>
      <c r="E73" s="4" t="s">
        <v>11</v>
      </c>
      <c r="F73" s="4" t="s">
        <v>11</v>
      </c>
      <c r="G73" s="2">
        <v>751</v>
      </c>
      <c r="H73" s="2">
        <f t="shared" si="7"/>
        <v>0</v>
      </c>
      <c r="I73" s="2">
        <f t="shared" si="8"/>
        <v>0</v>
      </c>
      <c r="J73" s="2">
        <f t="shared" si="9"/>
        <v>1</v>
      </c>
      <c r="K73" s="2">
        <f t="shared" si="10"/>
        <v>0</v>
      </c>
      <c r="L73" s="2">
        <f t="shared" si="11"/>
        <v>0</v>
      </c>
      <c r="M73" s="2">
        <f t="shared" si="12"/>
        <v>0</v>
      </c>
      <c r="N73" s="2">
        <f t="shared" si="13"/>
        <v>0</v>
      </c>
    </row>
    <row r="74" spans="1:14" x14ac:dyDescent="0.3">
      <c r="A74" s="3" t="s">
        <v>17</v>
      </c>
      <c r="B74" s="3">
        <v>12</v>
      </c>
      <c r="C74" s="3" t="s">
        <v>12</v>
      </c>
      <c r="D74" s="4" t="s">
        <v>9</v>
      </c>
      <c r="E74" s="4" t="s">
        <v>11</v>
      </c>
      <c r="F74" s="4" t="s">
        <v>11</v>
      </c>
      <c r="G74" s="2">
        <v>1114</v>
      </c>
      <c r="H74" s="2">
        <f t="shared" si="7"/>
        <v>0</v>
      </c>
      <c r="I74" s="2">
        <f t="shared" si="8"/>
        <v>0</v>
      </c>
      <c r="J74" s="2">
        <f t="shared" si="9"/>
        <v>0</v>
      </c>
      <c r="K74" s="2">
        <f t="shared" si="10"/>
        <v>1</v>
      </c>
      <c r="L74" s="2">
        <f t="shared" si="11"/>
        <v>1</v>
      </c>
      <c r="M74" s="2">
        <f t="shared" si="12"/>
        <v>0</v>
      </c>
      <c r="N74" s="2">
        <f t="shared" si="13"/>
        <v>0</v>
      </c>
    </row>
    <row r="75" spans="1:14" x14ac:dyDescent="0.3">
      <c r="A75" s="3" t="s">
        <v>17</v>
      </c>
      <c r="B75" s="3">
        <v>13</v>
      </c>
      <c r="C75" s="3" t="s">
        <v>13</v>
      </c>
      <c r="D75" s="4" t="s">
        <v>11</v>
      </c>
      <c r="E75" s="4" t="s">
        <v>11</v>
      </c>
      <c r="F75" s="4" t="s">
        <v>11</v>
      </c>
      <c r="G75" s="2">
        <v>1612</v>
      </c>
      <c r="H75" s="2">
        <f t="shared" si="7"/>
        <v>0</v>
      </c>
      <c r="I75" s="2">
        <f t="shared" si="8"/>
        <v>0</v>
      </c>
      <c r="J75" s="2">
        <f t="shared" si="9"/>
        <v>0</v>
      </c>
      <c r="K75" s="2">
        <f t="shared" si="10"/>
        <v>0</v>
      </c>
      <c r="L75" s="2">
        <f t="shared" si="11"/>
        <v>0</v>
      </c>
      <c r="M75" s="2">
        <f t="shared" si="12"/>
        <v>0</v>
      </c>
      <c r="N75" s="2">
        <f t="shared" si="13"/>
        <v>0</v>
      </c>
    </row>
    <row r="76" spans="1:14" x14ac:dyDescent="0.3">
      <c r="A76" s="3" t="s">
        <v>17</v>
      </c>
      <c r="B76" s="3">
        <v>16</v>
      </c>
      <c r="C76" s="3" t="s">
        <v>14</v>
      </c>
      <c r="D76" s="4" t="s">
        <v>11</v>
      </c>
      <c r="E76" s="4" t="s">
        <v>11</v>
      </c>
      <c r="F76" s="4" t="s">
        <v>11</v>
      </c>
      <c r="G76" s="2">
        <v>1267</v>
      </c>
      <c r="H76" s="2">
        <f t="shared" si="7"/>
        <v>1</v>
      </c>
      <c r="I76" s="2">
        <f t="shared" si="8"/>
        <v>0</v>
      </c>
      <c r="J76" s="2">
        <f t="shared" si="9"/>
        <v>0</v>
      </c>
      <c r="K76" s="2">
        <f t="shared" si="10"/>
        <v>0</v>
      </c>
      <c r="L76" s="2">
        <f t="shared" si="11"/>
        <v>0</v>
      </c>
      <c r="M76" s="2">
        <f t="shared" si="12"/>
        <v>0</v>
      </c>
      <c r="N76" s="2">
        <f t="shared" si="13"/>
        <v>0</v>
      </c>
    </row>
    <row r="77" spans="1:14" x14ac:dyDescent="0.3">
      <c r="A77" s="3" t="s">
        <v>17</v>
      </c>
      <c r="B77" s="3">
        <v>17</v>
      </c>
      <c r="C77" s="3" t="s">
        <v>8</v>
      </c>
      <c r="D77" s="4" t="s">
        <v>11</v>
      </c>
      <c r="E77" s="4" t="s">
        <v>11</v>
      </c>
      <c r="F77" s="4" t="s">
        <v>11</v>
      </c>
      <c r="G77" s="2">
        <v>825</v>
      </c>
      <c r="H77" s="2">
        <f t="shared" si="7"/>
        <v>0</v>
      </c>
      <c r="I77" s="2">
        <f t="shared" si="8"/>
        <v>1</v>
      </c>
      <c r="J77" s="2">
        <f t="shared" si="9"/>
        <v>0</v>
      </c>
      <c r="K77" s="2">
        <f t="shared" si="10"/>
        <v>0</v>
      </c>
      <c r="L77" s="2">
        <f t="shared" si="11"/>
        <v>0</v>
      </c>
      <c r="M77" s="2">
        <f t="shared" si="12"/>
        <v>0</v>
      </c>
      <c r="N77" s="2">
        <f t="shared" si="13"/>
        <v>0</v>
      </c>
    </row>
    <row r="78" spans="1:14" x14ac:dyDescent="0.3">
      <c r="A78" s="3" t="s">
        <v>17</v>
      </c>
      <c r="B78" s="3">
        <v>18</v>
      </c>
      <c r="C78" s="3" t="s">
        <v>10</v>
      </c>
      <c r="D78" s="4" t="s">
        <v>11</v>
      </c>
      <c r="E78" s="4" t="s">
        <v>11</v>
      </c>
      <c r="F78" s="4" t="s">
        <v>11</v>
      </c>
      <c r="G78" s="2">
        <v>729</v>
      </c>
      <c r="H78" s="2">
        <f t="shared" si="7"/>
        <v>0</v>
      </c>
      <c r="I78" s="2">
        <f t="shared" si="8"/>
        <v>0</v>
      </c>
      <c r="J78" s="2">
        <f t="shared" si="9"/>
        <v>1</v>
      </c>
      <c r="K78" s="2">
        <f t="shared" si="10"/>
        <v>0</v>
      </c>
      <c r="L78" s="2">
        <f t="shared" si="11"/>
        <v>0</v>
      </c>
      <c r="M78" s="2">
        <f t="shared" si="12"/>
        <v>0</v>
      </c>
      <c r="N78" s="2">
        <f t="shared" si="13"/>
        <v>0</v>
      </c>
    </row>
    <row r="79" spans="1:14" x14ac:dyDescent="0.3">
      <c r="A79" s="3" t="s">
        <v>17</v>
      </c>
      <c r="B79" s="3">
        <v>19</v>
      </c>
      <c r="C79" s="3" t="s">
        <v>12</v>
      </c>
      <c r="D79" s="4" t="s">
        <v>11</v>
      </c>
      <c r="E79" s="4" t="s">
        <v>11</v>
      </c>
      <c r="F79" s="4" t="s">
        <v>11</v>
      </c>
      <c r="G79" s="2">
        <v>836</v>
      </c>
      <c r="H79" s="2">
        <f t="shared" si="7"/>
        <v>0</v>
      </c>
      <c r="I79" s="2">
        <f t="shared" si="8"/>
        <v>0</v>
      </c>
      <c r="J79" s="2">
        <f t="shared" si="9"/>
        <v>0</v>
      </c>
      <c r="K79" s="2">
        <f t="shared" si="10"/>
        <v>1</v>
      </c>
      <c r="L79" s="2">
        <f t="shared" si="11"/>
        <v>0</v>
      </c>
      <c r="M79" s="2">
        <f t="shared" si="12"/>
        <v>0</v>
      </c>
      <c r="N79" s="2">
        <f t="shared" si="13"/>
        <v>0</v>
      </c>
    </row>
    <row r="80" spans="1:14" x14ac:dyDescent="0.3">
      <c r="A80" s="3" t="s">
        <v>17</v>
      </c>
      <c r="B80" s="3">
        <v>20</v>
      </c>
      <c r="C80" s="3" t="s">
        <v>13</v>
      </c>
      <c r="D80" s="4" t="s">
        <v>11</v>
      </c>
      <c r="E80" s="4" t="s">
        <v>11</v>
      </c>
      <c r="F80" s="4" t="s">
        <v>11</v>
      </c>
      <c r="G80" s="2">
        <v>1123</v>
      </c>
      <c r="H80" s="2">
        <f t="shared" si="7"/>
        <v>0</v>
      </c>
      <c r="I80" s="2">
        <f t="shared" si="8"/>
        <v>0</v>
      </c>
      <c r="J80" s="2">
        <f t="shared" si="9"/>
        <v>0</v>
      </c>
      <c r="K80" s="2">
        <f t="shared" si="10"/>
        <v>0</v>
      </c>
      <c r="L80" s="2">
        <f t="shared" si="11"/>
        <v>0</v>
      </c>
      <c r="M80" s="2">
        <f t="shared" si="12"/>
        <v>0</v>
      </c>
      <c r="N80" s="2">
        <f t="shared" si="13"/>
        <v>0</v>
      </c>
    </row>
    <row r="81" spans="1:14" x14ac:dyDescent="0.3">
      <c r="A81" s="3" t="s">
        <v>17</v>
      </c>
      <c r="B81" s="3">
        <v>23</v>
      </c>
      <c r="C81" s="3" t="s">
        <v>14</v>
      </c>
      <c r="D81" s="4" t="s">
        <v>11</v>
      </c>
      <c r="E81" s="4" t="s">
        <v>11</v>
      </c>
      <c r="F81" s="4" t="s">
        <v>11</v>
      </c>
      <c r="G81" s="2">
        <v>900</v>
      </c>
      <c r="H81" s="2">
        <f t="shared" si="7"/>
        <v>1</v>
      </c>
      <c r="I81" s="2">
        <f t="shared" si="8"/>
        <v>0</v>
      </c>
      <c r="J81" s="2">
        <f t="shared" si="9"/>
        <v>0</v>
      </c>
      <c r="K81" s="2">
        <f t="shared" si="10"/>
        <v>0</v>
      </c>
      <c r="L81" s="2">
        <f t="shared" si="11"/>
        <v>0</v>
      </c>
      <c r="M81" s="2">
        <f t="shared" si="12"/>
        <v>0</v>
      </c>
      <c r="N81" s="2">
        <f t="shared" si="13"/>
        <v>0</v>
      </c>
    </row>
    <row r="82" spans="1:14" x14ac:dyDescent="0.3">
      <c r="A82" s="3" t="s">
        <v>17</v>
      </c>
      <c r="B82" s="3">
        <v>24</v>
      </c>
      <c r="C82" s="3" t="s">
        <v>8</v>
      </c>
      <c r="D82" s="4" t="s">
        <v>11</v>
      </c>
      <c r="E82" s="4" t="s">
        <v>11</v>
      </c>
      <c r="F82" s="4" t="s">
        <v>11</v>
      </c>
      <c r="G82" s="2">
        <v>702</v>
      </c>
      <c r="H82" s="2">
        <f t="shared" si="7"/>
        <v>0</v>
      </c>
      <c r="I82" s="2">
        <f t="shared" si="8"/>
        <v>1</v>
      </c>
      <c r="J82" s="2">
        <f t="shared" si="9"/>
        <v>0</v>
      </c>
      <c r="K82" s="2">
        <f t="shared" si="10"/>
        <v>0</v>
      </c>
      <c r="L82" s="2">
        <f t="shared" si="11"/>
        <v>0</v>
      </c>
      <c r="M82" s="2">
        <f t="shared" si="12"/>
        <v>0</v>
      </c>
      <c r="N82" s="2">
        <f t="shared" si="13"/>
        <v>0</v>
      </c>
    </row>
    <row r="83" spans="1:14" x14ac:dyDescent="0.3">
      <c r="A83" s="3" t="s">
        <v>17</v>
      </c>
      <c r="B83" s="3">
        <v>25</v>
      </c>
      <c r="C83" s="3" t="s">
        <v>10</v>
      </c>
      <c r="D83" s="4" t="s">
        <v>11</v>
      </c>
      <c r="E83" s="4" t="s">
        <v>11</v>
      </c>
      <c r="F83" s="4" t="s">
        <v>11</v>
      </c>
      <c r="G83" s="2">
        <v>724</v>
      </c>
      <c r="H83" s="2">
        <f t="shared" si="7"/>
        <v>0</v>
      </c>
      <c r="I83" s="2">
        <f t="shared" si="8"/>
        <v>0</v>
      </c>
      <c r="J83" s="2">
        <f t="shared" si="9"/>
        <v>1</v>
      </c>
      <c r="K83" s="2">
        <f t="shared" si="10"/>
        <v>0</v>
      </c>
      <c r="L83" s="2">
        <f t="shared" si="11"/>
        <v>0</v>
      </c>
      <c r="M83" s="2">
        <f t="shared" si="12"/>
        <v>0</v>
      </c>
      <c r="N83" s="2">
        <f t="shared" si="13"/>
        <v>0</v>
      </c>
    </row>
    <row r="84" spans="1:14" x14ac:dyDescent="0.3">
      <c r="A84" s="3" t="s">
        <v>17</v>
      </c>
      <c r="B84" s="3">
        <v>26</v>
      </c>
      <c r="C84" s="3" t="s">
        <v>12</v>
      </c>
      <c r="D84" s="4" t="s">
        <v>11</v>
      </c>
      <c r="E84" s="4" t="s">
        <v>11</v>
      </c>
      <c r="F84" s="4" t="s">
        <v>11</v>
      </c>
      <c r="G84" s="2">
        <v>824</v>
      </c>
      <c r="H84" s="2">
        <f t="shared" si="7"/>
        <v>0</v>
      </c>
      <c r="I84" s="2">
        <f t="shared" si="8"/>
        <v>0</v>
      </c>
      <c r="J84" s="2">
        <f t="shared" si="9"/>
        <v>0</v>
      </c>
      <c r="K84" s="2">
        <f t="shared" si="10"/>
        <v>1</v>
      </c>
      <c r="L84" s="2">
        <f t="shared" si="11"/>
        <v>0</v>
      </c>
      <c r="M84" s="2">
        <f t="shared" si="12"/>
        <v>0</v>
      </c>
      <c r="N84" s="2">
        <f t="shared" si="13"/>
        <v>0</v>
      </c>
    </row>
    <row r="85" spans="1:14" x14ac:dyDescent="0.3">
      <c r="A85" s="3" t="s">
        <v>17</v>
      </c>
      <c r="B85" s="3">
        <v>27</v>
      </c>
      <c r="C85" s="3" t="s">
        <v>13</v>
      </c>
      <c r="D85" s="4" t="s">
        <v>9</v>
      </c>
      <c r="E85" s="4" t="s">
        <v>11</v>
      </c>
      <c r="F85" s="4" t="s">
        <v>11</v>
      </c>
      <c r="G85" s="2">
        <v>1682</v>
      </c>
      <c r="H85" s="2">
        <f t="shared" si="7"/>
        <v>0</v>
      </c>
      <c r="I85" s="2">
        <f t="shared" si="8"/>
        <v>0</v>
      </c>
      <c r="J85" s="2">
        <f t="shared" si="9"/>
        <v>0</v>
      </c>
      <c r="K85" s="2">
        <f t="shared" si="10"/>
        <v>0</v>
      </c>
      <c r="L85" s="2">
        <f t="shared" si="11"/>
        <v>1</v>
      </c>
      <c r="M85" s="2">
        <f t="shared" si="12"/>
        <v>0</v>
      </c>
      <c r="N85" s="2">
        <f t="shared" si="13"/>
        <v>0</v>
      </c>
    </row>
    <row r="86" spans="1:14" x14ac:dyDescent="0.3">
      <c r="A86" s="3" t="s">
        <v>17</v>
      </c>
      <c r="B86" s="3">
        <v>30</v>
      </c>
      <c r="C86" s="3" t="s">
        <v>14</v>
      </c>
      <c r="D86" s="4" t="s">
        <v>11</v>
      </c>
      <c r="E86" s="4" t="s">
        <v>11</v>
      </c>
      <c r="F86" s="4" t="s">
        <v>11</v>
      </c>
      <c r="G86" s="2">
        <v>1146</v>
      </c>
      <c r="H86" s="2">
        <f t="shared" si="7"/>
        <v>1</v>
      </c>
      <c r="I86" s="2">
        <f t="shared" si="8"/>
        <v>0</v>
      </c>
      <c r="J86" s="2">
        <f t="shared" si="9"/>
        <v>0</v>
      </c>
      <c r="K86" s="2">
        <f t="shared" si="10"/>
        <v>0</v>
      </c>
      <c r="L86" s="2">
        <f t="shared" si="11"/>
        <v>0</v>
      </c>
      <c r="M86" s="2">
        <f t="shared" si="12"/>
        <v>0</v>
      </c>
      <c r="N86" s="2">
        <f t="shared" si="13"/>
        <v>0</v>
      </c>
    </row>
    <row r="87" spans="1:14" x14ac:dyDescent="0.3">
      <c r="A87" s="3" t="s">
        <v>18</v>
      </c>
      <c r="B87" s="3">
        <v>1</v>
      </c>
      <c r="C87" s="3" t="s">
        <v>8</v>
      </c>
      <c r="D87" s="4" t="s">
        <v>11</v>
      </c>
      <c r="E87" s="4" t="s">
        <v>9</v>
      </c>
      <c r="F87" s="4" t="s">
        <v>11</v>
      </c>
      <c r="G87" s="2">
        <v>1488</v>
      </c>
      <c r="H87" s="2">
        <f t="shared" si="7"/>
        <v>0</v>
      </c>
      <c r="I87" s="2">
        <f t="shared" si="8"/>
        <v>1</v>
      </c>
      <c r="J87" s="2">
        <f t="shared" si="9"/>
        <v>0</v>
      </c>
      <c r="K87" s="2">
        <f t="shared" si="10"/>
        <v>0</v>
      </c>
      <c r="L87" s="2">
        <f t="shared" si="11"/>
        <v>0</v>
      </c>
      <c r="M87" s="2">
        <f t="shared" si="12"/>
        <v>1</v>
      </c>
      <c r="N87" s="2">
        <f t="shared" si="13"/>
        <v>0</v>
      </c>
    </row>
    <row r="88" spans="1:14" x14ac:dyDescent="0.3">
      <c r="A88" s="3" t="s">
        <v>18</v>
      </c>
      <c r="B88" s="3">
        <v>2</v>
      </c>
      <c r="C88" s="3" t="s">
        <v>10</v>
      </c>
      <c r="D88" s="4" t="s">
        <v>11</v>
      </c>
      <c r="E88" s="4" t="s">
        <v>11</v>
      </c>
      <c r="F88" s="4" t="s">
        <v>11</v>
      </c>
      <c r="G88" s="2">
        <v>1121</v>
      </c>
      <c r="H88" s="2">
        <f t="shared" si="7"/>
        <v>0</v>
      </c>
      <c r="I88" s="2">
        <f t="shared" si="8"/>
        <v>0</v>
      </c>
      <c r="J88" s="2">
        <f t="shared" si="9"/>
        <v>1</v>
      </c>
      <c r="K88" s="2">
        <f t="shared" si="10"/>
        <v>0</v>
      </c>
      <c r="L88" s="2">
        <f t="shared" si="11"/>
        <v>0</v>
      </c>
      <c r="M88" s="2">
        <f t="shared" si="12"/>
        <v>0</v>
      </c>
      <c r="N88" s="2">
        <f t="shared" si="13"/>
        <v>0</v>
      </c>
    </row>
    <row r="89" spans="1:14" x14ac:dyDescent="0.3">
      <c r="A89" s="3" t="s">
        <v>18</v>
      </c>
      <c r="B89" s="3">
        <v>3</v>
      </c>
      <c r="C89" s="3" t="s">
        <v>12</v>
      </c>
      <c r="D89" s="4" t="s">
        <v>11</v>
      </c>
      <c r="E89" s="4" t="s">
        <v>11</v>
      </c>
      <c r="F89" s="4" t="s">
        <v>11</v>
      </c>
      <c r="G89" s="2">
        <v>1147</v>
      </c>
      <c r="H89" s="2">
        <f t="shared" si="7"/>
        <v>0</v>
      </c>
      <c r="I89" s="2">
        <f t="shared" si="8"/>
        <v>0</v>
      </c>
      <c r="J89" s="2">
        <f t="shared" si="9"/>
        <v>0</v>
      </c>
      <c r="K89" s="2">
        <f t="shared" si="10"/>
        <v>1</v>
      </c>
      <c r="L89" s="2">
        <f t="shared" si="11"/>
        <v>0</v>
      </c>
      <c r="M89" s="2">
        <f t="shared" si="12"/>
        <v>0</v>
      </c>
      <c r="N89" s="2">
        <f t="shared" si="13"/>
        <v>0</v>
      </c>
    </row>
    <row r="90" spans="1:14" x14ac:dyDescent="0.3">
      <c r="A90" s="3" t="s">
        <v>18</v>
      </c>
      <c r="B90" s="3">
        <v>4</v>
      </c>
      <c r="C90" s="3" t="s">
        <v>13</v>
      </c>
      <c r="D90" s="4" t="s">
        <v>11</v>
      </c>
      <c r="E90" s="4" t="s">
        <v>11</v>
      </c>
      <c r="F90" s="4" t="s">
        <v>11</v>
      </c>
      <c r="G90" s="2">
        <v>1455</v>
      </c>
      <c r="H90" s="2">
        <f t="shared" si="7"/>
        <v>0</v>
      </c>
      <c r="I90" s="2">
        <f t="shared" si="8"/>
        <v>0</v>
      </c>
      <c r="J90" s="2">
        <f t="shared" si="9"/>
        <v>0</v>
      </c>
      <c r="K90" s="2">
        <f t="shared" si="10"/>
        <v>0</v>
      </c>
      <c r="L90" s="2">
        <f t="shared" si="11"/>
        <v>0</v>
      </c>
      <c r="M90" s="2">
        <f t="shared" si="12"/>
        <v>0</v>
      </c>
      <c r="N90" s="2">
        <f t="shared" si="13"/>
        <v>0</v>
      </c>
    </row>
    <row r="91" spans="1:14" x14ac:dyDescent="0.3">
      <c r="A91" s="3" t="s">
        <v>18</v>
      </c>
      <c r="B91" s="3">
        <v>7</v>
      </c>
      <c r="C91" s="3" t="s">
        <v>14</v>
      </c>
      <c r="D91" s="4" t="s">
        <v>11</v>
      </c>
      <c r="E91" s="4" t="s">
        <v>11</v>
      </c>
      <c r="F91" s="4" t="s">
        <v>11</v>
      </c>
      <c r="G91" s="2">
        <v>1330</v>
      </c>
      <c r="H91" s="2">
        <f t="shared" si="7"/>
        <v>1</v>
      </c>
      <c r="I91" s="2">
        <f t="shared" si="8"/>
        <v>0</v>
      </c>
      <c r="J91" s="2">
        <f t="shared" si="9"/>
        <v>0</v>
      </c>
      <c r="K91" s="2">
        <f t="shared" si="10"/>
        <v>0</v>
      </c>
      <c r="L91" s="2">
        <f t="shared" si="11"/>
        <v>0</v>
      </c>
      <c r="M91" s="2">
        <f t="shared" si="12"/>
        <v>0</v>
      </c>
      <c r="N91" s="2">
        <f t="shared" si="13"/>
        <v>0</v>
      </c>
    </row>
    <row r="92" spans="1:14" x14ac:dyDescent="0.3">
      <c r="A92" s="3" t="s">
        <v>18</v>
      </c>
      <c r="B92" s="3">
        <v>8</v>
      </c>
      <c r="C92" s="3" t="s">
        <v>8</v>
      </c>
      <c r="D92" s="4" t="s">
        <v>11</v>
      </c>
      <c r="E92" s="4" t="s">
        <v>11</v>
      </c>
      <c r="F92" s="4" t="s">
        <v>11</v>
      </c>
      <c r="G92" s="2">
        <v>819</v>
      </c>
      <c r="H92" s="2">
        <f t="shared" si="7"/>
        <v>0</v>
      </c>
      <c r="I92" s="2">
        <f t="shared" si="8"/>
        <v>1</v>
      </c>
      <c r="J92" s="2">
        <f t="shared" si="9"/>
        <v>0</v>
      </c>
      <c r="K92" s="2">
        <f t="shared" si="10"/>
        <v>0</v>
      </c>
      <c r="L92" s="2">
        <f t="shared" si="11"/>
        <v>0</v>
      </c>
      <c r="M92" s="2">
        <f t="shared" si="12"/>
        <v>0</v>
      </c>
      <c r="N92" s="2">
        <f t="shared" si="13"/>
        <v>0</v>
      </c>
    </row>
    <row r="93" spans="1:14" x14ac:dyDescent="0.3">
      <c r="A93" s="3" t="s">
        <v>18</v>
      </c>
      <c r="B93" s="3">
        <v>9</v>
      </c>
      <c r="C93" s="3" t="s">
        <v>10</v>
      </c>
      <c r="D93" s="4" t="s">
        <v>11</v>
      </c>
      <c r="E93" s="4" t="s">
        <v>11</v>
      </c>
      <c r="F93" s="4" t="s">
        <v>11</v>
      </c>
      <c r="G93" s="2">
        <v>743</v>
      </c>
      <c r="H93" s="2">
        <f t="shared" si="7"/>
        <v>0</v>
      </c>
      <c r="I93" s="2">
        <f t="shared" si="8"/>
        <v>0</v>
      </c>
      <c r="J93" s="2">
        <f t="shared" si="9"/>
        <v>1</v>
      </c>
      <c r="K93" s="2">
        <f t="shared" si="10"/>
        <v>0</v>
      </c>
      <c r="L93" s="2">
        <f t="shared" si="11"/>
        <v>0</v>
      </c>
      <c r="M93" s="2">
        <f t="shared" si="12"/>
        <v>0</v>
      </c>
      <c r="N93" s="2">
        <f t="shared" si="13"/>
        <v>0</v>
      </c>
    </row>
    <row r="94" spans="1:14" x14ac:dyDescent="0.3">
      <c r="A94" s="3" t="s">
        <v>18</v>
      </c>
      <c r="B94" s="3">
        <v>10</v>
      </c>
      <c r="C94" s="3" t="s">
        <v>12</v>
      </c>
      <c r="D94" s="4" t="s">
        <v>11</v>
      </c>
      <c r="E94" s="4" t="s">
        <v>11</v>
      </c>
      <c r="F94" s="4" t="s">
        <v>11</v>
      </c>
      <c r="G94" s="2">
        <v>921</v>
      </c>
      <c r="H94" s="2">
        <f t="shared" si="7"/>
        <v>0</v>
      </c>
      <c r="I94" s="2">
        <f t="shared" si="8"/>
        <v>0</v>
      </c>
      <c r="J94" s="2">
        <f t="shared" si="9"/>
        <v>0</v>
      </c>
      <c r="K94" s="2">
        <f t="shared" si="10"/>
        <v>1</v>
      </c>
      <c r="L94" s="2">
        <f t="shared" si="11"/>
        <v>0</v>
      </c>
      <c r="M94" s="2">
        <f t="shared" si="12"/>
        <v>0</v>
      </c>
      <c r="N94" s="2">
        <f t="shared" si="13"/>
        <v>0</v>
      </c>
    </row>
    <row r="95" spans="1:14" x14ac:dyDescent="0.3">
      <c r="A95" s="3" t="s">
        <v>18</v>
      </c>
      <c r="B95" s="3">
        <v>11</v>
      </c>
      <c r="C95" s="3" t="s">
        <v>13</v>
      </c>
      <c r="D95" s="4" t="s">
        <v>9</v>
      </c>
      <c r="E95" s="4" t="s">
        <v>9</v>
      </c>
      <c r="F95" s="4" t="s">
        <v>11</v>
      </c>
      <c r="G95" s="2">
        <v>1731</v>
      </c>
      <c r="H95" s="2">
        <f t="shared" si="7"/>
        <v>0</v>
      </c>
      <c r="I95" s="2">
        <f t="shared" si="8"/>
        <v>0</v>
      </c>
      <c r="J95" s="2">
        <f t="shared" si="9"/>
        <v>0</v>
      </c>
      <c r="K95" s="2">
        <f t="shared" si="10"/>
        <v>0</v>
      </c>
      <c r="L95" s="2">
        <f t="shared" si="11"/>
        <v>1</v>
      </c>
      <c r="M95" s="2">
        <f t="shared" si="12"/>
        <v>1</v>
      </c>
      <c r="N95" s="2">
        <f t="shared" si="13"/>
        <v>0</v>
      </c>
    </row>
    <row r="96" spans="1:14" x14ac:dyDescent="0.3">
      <c r="A96" s="3" t="s">
        <v>18</v>
      </c>
      <c r="B96" s="3">
        <v>14</v>
      </c>
      <c r="C96" s="3" t="s">
        <v>14</v>
      </c>
      <c r="D96" s="4" t="s">
        <v>11</v>
      </c>
      <c r="E96" s="4" t="s">
        <v>11</v>
      </c>
      <c r="F96" s="4" t="s">
        <v>11</v>
      </c>
      <c r="G96" s="2">
        <v>1118</v>
      </c>
      <c r="H96" s="2">
        <f t="shared" si="7"/>
        <v>1</v>
      </c>
      <c r="I96" s="2">
        <f t="shared" si="8"/>
        <v>0</v>
      </c>
      <c r="J96" s="2">
        <f t="shared" si="9"/>
        <v>0</v>
      </c>
      <c r="K96" s="2">
        <f t="shared" si="10"/>
        <v>0</v>
      </c>
      <c r="L96" s="2">
        <f t="shared" si="11"/>
        <v>0</v>
      </c>
      <c r="M96" s="2">
        <f t="shared" si="12"/>
        <v>0</v>
      </c>
      <c r="N96" s="2">
        <f t="shared" si="13"/>
        <v>0</v>
      </c>
    </row>
    <row r="97" spans="1:14" x14ac:dyDescent="0.3">
      <c r="A97" s="3" t="s">
        <v>18</v>
      </c>
      <c r="B97" s="3">
        <v>15</v>
      </c>
      <c r="C97" s="3" t="s">
        <v>8</v>
      </c>
      <c r="D97" s="4" t="s">
        <v>11</v>
      </c>
      <c r="E97" s="4" t="s">
        <v>11</v>
      </c>
      <c r="F97" s="4" t="s">
        <v>11</v>
      </c>
      <c r="G97" s="2">
        <v>1064</v>
      </c>
      <c r="H97" s="2">
        <f t="shared" si="7"/>
        <v>0</v>
      </c>
      <c r="I97" s="2">
        <f t="shared" si="8"/>
        <v>1</v>
      </c>
      <c r="J97" s="2">
        <f t="shared" si="9"/>
        <v>0</v>
      </c>
      <c r="K97" s="2">
        <f t="shared" si="10"/>
        <v>0</v>
      </c>
      <c r="L97" s="2">
        <f t="shared" si="11"/>
        <v>0</v>
      </c>
      <c r="M97" s="2">
        <f t="shared" si="12"/>
        <v>0</v>
      </c>
      <c r="N97" s="2">
        <f t="shared" si="13"/>
        <v>0</v>
      </c>
    </row>
    <row r="98" spans="1:14" x14ac:dyDescent="0.3">
      <c r="A98" s="3" t="s">
        <v>18</v>
      </c>
      <c r="B98" s="3">
        <v>16</v>
      </c>
      <c r="C98" s="3" t="s">
        <v>10</v>
      </c>
      <c r="D98" s="4" t="s">
        <v>11</v>
      </c>
      <c r="E98" s="4" t="s">
        <v>11</v>
      </c>
      <c r="F98" s="4" t="s">
        <v>11</v>
      </c>
      <c r="G98" s="2">
        <v>869</v>
      </c>
      <c r="H98" s="2">
        <f t="shared" si="7"/>
        <v>0</v>
      </c>
      <c r="I98" s="2">
        <f t="shared" si="8"/>
        <v>0</v>
      </c>
      <c r="J98" s="2">
        <f t="shared" si="9"/>
        <v>1</v>
      </c>
      <c r="K98" s="2">
        <f t="shared" si="10"/>
        <v>0</v>
      </c>
      <c r="L98" s="2">
        <f t="shared" si="11"/>
        <v>0</v>
      </c>
      <c r="M98" s="2">
        <f t="shared" si="12"/>
        <v>0</v>
      </c>
      <c r="N98" s="2">
        <f t="shared" si="13"/>
        <v>0</v>
      </c>
    </row>
    <row r="99" spans="1:14" x14ac:dyDescent="0.3">
      <c r="A99" s="3" t="s">
        <v>18</v>
      </c>
      <c r="B99" s="3">
        <v>17</v>
      </c>
      <c r="C99" s="3" t="s">
        <v>12</v>
      </c>
      <c r="D99" s="4" t="s">
        <v>11</v>
      </c>
      <c r="E99" s="4" t="s">
        <v>11</v>
      </c>
      <c r="F99" s="4" t="s">
        <v>11</v>
      </c>
      <c r="G99" s="2">
        <v>844</v>
      </c>
      <c r="H99" s="2">
        <f t="shared" si="7"/>
        <v>0</v>
      </c>
      <c r="I99" s="2">
        <f t="shared" si="8"/>
        <v>0</v>
      </c>
      <c r="J99" s="2">
        <f t="shared" si="9"/>
        <v>0</v>
      </c>
      <c r="K99" s="2">
        <f t="shared" si="10"/>
        <v>1</v>
      </c>
      <c r="L99" s="2">
        <f t="shared" si="11"/>
        <v>0</v>
      </c>
      <c r="M99" s="2">
        <f t="shared" si="12"/>
        <v>0</v>
      </c>
      <c r="N99" s="2">
        <f t="shared" si="13"/>
        <v>0</v>
      </c>
    </row>
    <row r="100" spans="1:14" x14ac:dyDescent="0.3">
      <c r="A100" s="3" t="s">
        <v>18</v>
      </c>
      <c r="B100" s="3">
        <v>18</v>
      </c>
      <c r="C100" s="3" t="s">
        <v>13</v>
      </c>
      <c r="D100" s="4" t="s">
        <v>11</v>
      </c>
      <c r="E100" s="4" t="s">
        <v>11</v>
      </c>
      <c r="F100" s="4" t="s">
        <v>11</v>
      </c>
      <c r="G100" s="2">
        <v>1251</v>
      </c>
      <c r="H100" s="2">
        <f t="shared" si="7"/>
        <v>0</v>
      </c>
      <c r="I100" s="2">
        <f t="shared" si="8"/>
        <v>0</v>
      </c>
      <c r="J100" s="2">
        <f t="shared" si="9"/>
        <v>0</v>
      </c>
      <c r="K100" s="2">
        <f t="shared" si="10"/>
        <v>0</v>
      </c>
      <c r="L100" s="2">
        <f t="shared" si="11"/>
        <v>0</v>
      </c>
      <c r="M100" s="2">
        <f t="shared" si="12"/>
        <v>0</v>
      </c>
      <c r="N100" s="2">
        <f t="shared" si="13"/>
        <v>0</v>
      </c>
    </row>
    <row r="101" spans="1:14" x14ac:dyDescent="0.3">
      <c r="A101" s="3" t="s">
        <v>18</v>
      </c>
      <c r="B101" s="3">
        <v>21</v>
      </c>
      <c r="C101" s="3" t="s">
        <v>14</v>
      </c>
      <c r="D101" s="4" t="s">
        <v>11</v>
      </c>
      <c r="E101" s="4" t="s">
        <v>11</v>
      </c>
      <c r="F101" s="4" t="s">
        <v>11</v>
      </c>
      <c r="G101" s="2">
        <v>1187</v>
      </c>
      <c r="H101" s="2">
        <f t="shared" si="7"/>
        <v>1</v>
      </c>
      <c r="I101" s="2">
        <f t="shared" si="8"/>
        <v>0</v>
      </c>
      <c r="J101" s="2">
        <f t="shared" si="9"/>
        <v>0</v>
      </c>
      <c r="K101" s="2">
        <f t="shared" si="10"/>
        <v>0</v>
      </c>
      <c r="L101" s="2">
        <f t="shared" si="11"/>
        <v>0</v>
      </c>
      <c r="M101" s="2">
        <f t="shared" si="12"/>
        <v>0</v>
      </c>
      <c r="N101" s="2">
        <f t="shared" si="13"/>
        <v>0</v>
      </c>
    </row>
    <row r="102" spans="1:14" x14ac:dyDescent="0.3">
      <c r="A102" s="3" t="s">
        <v>18</v>
      </c>
      <c r="B102" s="3">
        <v>22</v>
      </c>
      <c r="C102" s="3" t="s">
        <v>8</v>
      </c>
      <c r="D102" s="4" t="s">
        <v>11</v>
      </c>
      <c r="E102" s="4" t="s">
        <v>11</v>
      </c>
      <c r="F102" s="4" t="s">
        <v>11</v>
      </c>
      <c r="G102" s="2">
        <v>785</v>
      </c>
      <c r="H102" s="2">
        <f t="shared" si="7"/>
        <v>0</v>
      </c>
      <c r="I102" s="2">
        <f t="shared" si="8"/>
        <v>1</v>
      </c>
      <c r="J102" s="2">
        <f t="shared" si="9"/>
        <v>0</v>
      </c>
      <c r="K102" s="2">
        <f t="shared" si="10"/>
        <v>0</v>
      </c>
      <c r="L102" s="2">
        <f t="shared" si="11"/>
        <v>0</v>
      </c>
      <c r="M102" s="2">
        <f t="shared" si="12"/>
        <v>0</v>
      </c>
      <c r="N102" s="2">
        <f t="shared" si="13"/>
        <v>0</v>
      </c>
    </row>
    <row r="103" spans="1:14" x14ac:dyDescent="0.3">
      <c r="A103" s="3" t="s">
        <v>18</v>
      </c>
      <c r="B103" s="3">
        <v>23</v>
      </c>
      <c r="C103" s="3" t="s">
        <v>10</v>
      </c>
      <c r="D103" s="4" t="s">
        <v>11</v>
      </c>
      <c r="E103" s="4" t="s">
        <v>11</v>
      </c>
      <c r="F103" s="4" t="s">
        <v>11</v>
      </c>
      <c r="G103" s="2">
        <v>705</v>
      </c>
      <c r="H103" s="2">
        <f t="shared" si="7"/>
        <v>0</v>
      </c>
      <c r="I103" s="2">
        <f t="shared" si="8"/>
        <v>0</v>
      </c>
      <c r="J103" s="2">
        <f t="shared" si="9"/>
        <v>1</v>
      </c>
      <c r="K103" s="2">
        <f t="shared" si="10"/>
        <v>0</v>
      </c>
      <c r="L103" s="2">
        <f t="shared" si="11"/>
        <v>0</v>
      </c>
      <c r="M103" s="2">
        <f t="shared" si="12"/>
        <v>0</v>
      </c>
      <c r="N103" s="2">
        <f t="shared" si="13"/>
        <v>0</v>
      </c>
    </row>
    <row r="104" spans="1:14" x14ac:dyDescent="0.3">
      <c r="A104" s="3" t="s">
        <v>18</v>
      </c>
      <c r="B104" s="3">
        <v>24</v>
      </c>
      <c r="C104" s="3" t="s">
        <v>12</v>
      </c>
      <c r="D104" s="4" t="s">
        <v>11</v>
      </c>
      <c r="E104" s="4" t="s">
        <v>11</v>
      </c>
      <c r="F104" s="4" t="s">
        <v>11</v>
      </c>
      <c r="G104" s="2">
        <v>890</v>
      </c>
      <c r="H104" s="2">
        <f t="shared" si="7"/>
        <v>0</v>
      </c>
      <c r="I104" s="2">
        <f t="shared" si="8"/>
        <v>0</v>
      </c>
      <c r="J104" s="2">
        <f t="shared" si="9"/>
        <v>0</v>
      </c>
      <c r="K104" s="2">
        <f t="shared" si="10"/>
        <v>1</v>
      </c>
      <c r="L104" s="2">
        <f t="shared" si="11"/>
        <v>0</v>
      </c>
      <c r="M104" s="2">
        <f t="shared" si="12"/>
        <v>0</v>
      </c>
      <c r="N104" s="2">
        <f t="shared" si="13"/>
        <v>0</v>
      </c>
    </row>
    <row r="105" spans="1:14" x14ac:dyDescent="0.3">
      <c r="A105" s="3" t="s">
        <v>18</v>
      </c>
      <c r="B105" s="3">
        <v>25</v>
      </c>
      <c r="C105" s="3" t="s">
        <v>13</v>
      </c>
      <c r="D105" s="4" t="s">
        <v>11</v>
      </c>
      <c r="E105" s="4" t="s">
        <v>11</v>
      </c>
      <c r="F105" s="4" t="s">
        <v>9</v>
      </c>
      <c r="G105" s="2">
        <v>1754</v>
      </c>
      <c r="H105" s="2">
        <f t="shared" si="7"/>
        <v>0</v>
      </c>
      <c r="I105" s="2">
        <f t="shared" si="8"/>
        <v>0</v>
      </c>
      <c r="J105" s="2">
        <f t="shared" si="9"/>
        <v>0</v>
      </c>
      <c r="K105" s="2">
        <f t="shared" si="10"/>
        <v>0</v>
      </c>
      <c r="L105" s="2">
        <f t="shared" si="11"/>
        <v>0</v>
      </c>
      <c r="M105" s="2">
        <f t="shared" si="12"/>
        <v>0</v>
      </c>
      <c r="N105" s="2">
        <f t="shared" si="13"/>
        <v>1</v>
      </c>
    </row>
    <row r="106" spans="1:14" x14ac:dyDescent="0.3">
      <c r="A106" s="3" t="s">
        <v>18</v>
      </c>
      <c r="B106" s="3">
        <v>29</v>
      </c>
      <c r="C106" s="3" t="s">
        <v>8</v>
      </c>
      <c r="D106" s="4" t="s">
        <v>11</v>
      </c>
      <c r="E106" s="4" t="s">
        <v>11</v>
      </c>
      <c r="F106" s="4" t="s">
        <v>9</v>
      </c>
      <c r="G106" s="2">
        <v>1310</v>
      </c>
      <c r="H106" s="2">
        <f t="shared" si="7"/>
        <v>0</v>
      </c>
      <c r="I106" s="2">
        <f t="shared" si="8"/>
        <v>1</v>
      </c>
      <c r="J106" s="2">
        <f t="shared" si="9"/>
        <v>0</v>
      </c>
      <c r="K106" s="2">
        <f t="shared" si="10"/>
        <v>0</v>
      </c>
      <c r="L106" s="2">
        <f t="shared" si="11"/>
        <v>0</v>
      </c>
      <c r="M106" s="2">
        <f t="shared" si="12"/>
        <v>0</v>
      </c>
      <c r="N106" s="2">
        <f t="shared" si="13"/>
        <v>1</v>
      </c>
    </row>
    <row r="107" spans="1:14" x14ac:dyDescent="0.3">
      <c r="A107" s="3" t="s">
        <v>18</v>
      </c>
      <c r="B107" s="3">
        <v>30</v>
      </c>
      <c r="C107" s="3" t="s">
        <v>10</v>
      </c>
      <c r="D107" s="4" t="s">
        <v>11</v>
      </c>
      <c r="E107" s="4" t="s">
        <v>11</v>
      </c>
      <c r="F107" s="4" t="s">
        <v>11</v>
      </c>
      <c r="G107" s="2">
        <v>937</v>
      </c>
      <c r="H107" s="2">
        <f t="shared" si="7"/>
        <v>0</v>
      </c>
      <c r="I107" s="2">
        <f t="shared" si="8"/>
        <v>0</v>
      </c>
      <c r="J107" s="2">
        <f t="shared" si="9"/>
        <v>1</v>
      </c>
      <c r="K107" s="2">
        <f t="shared" si="10"/>
        <v>0</v>
      </c>
      <c r="L107" s="2">
        <f t="shared" si="11"/>
        <v>0</v>
      </c>
      <c r="M107" s="2">
        <f t="shared" si="12"/>
        <v>0</v>
      </c>
      <c r="N107" s="2">
        <f t="shared" si="13"/>
        <v>0</v>
      </c>
    </row>
    <row r="108" spans="1:14" x14ac:dyDescent="0.3">
      <c r="A108" s="3" t="s">
        <v>18</v>
      </c>
      <c r="B108" s="3">
        <v>31</v>
      </c>
      <c r="C108" s="3" t="s">
        <v>12</v>
      </c>
      <c r="D108" s="4" t="s">
        <v>11</v>
      </c>
      <c r="E108" s="4" t="s">
        <v>11</v>
      </c>
      <c r="F108" s="4" t="s">
        <v>11</v>
      </c>
      <c r="G108" s="2">
        <v>956</v>
      </c>
      <c r="H108" s="2">
        <f t="shared" si="7"/>
        <v>0</v>
      </c>
      <c r="I108" s="2">
        <f t="shared" si="8"/>
        <v>0</v>
      </c>
      <c r="J108" s="2">
        <f t="shared" si="9"/>
        <v>0</v>
      </c>
      <c r="K108" s="2">
        <f t="shared" si="10"/>
        <v>1</v>
      </c>
      <c r="L108" s="2">
        <f t="shared" si="11"/>
        <v>0</v>
      </c>
      <c r="M108" s="2">
        <f t="shared" si="12"/>
        <v>0</v>
      </c>
      <c r="N108" s="2">
        <f t="shared" si="13"/>
        <v>0</v>
      </c>
    </row>
    <row r="109" spans="1:14" x14ac:dyDescent="0.3">
      <c r="A109" s="3" t="s">
        <v>19</v>
      </c>
      <c r="B109" s="3">
        <v>1</v>
      </c>
      <c r="C109" s="3" t="s">
        <v>13</v>
      </c>
      <c r="D109" s="4" t="s">
        <v>11</v>
      </c>
      <c r="E109" s="4" t="s">
        <v>11</v>
      </c>
      <c r="F109" s="4" t="s">
        <v>11</v>
      </c>
      <c r="G109" s="2">
        <v>2068</v>
      </c>
      <c r="H109" s="2">
        <f t="shared" si="7"/>
        <v>0</v>
      </c>
      <c r="I109" s="2">
        <f t="shared" si="8"/>
        <v>0</v>
      </c>
      <c r="J109" s="2">
        <f t="shared" si="9"/>
        <v>0</v>
      </c>
      <c r="K109" s="2">
        <f t="shared" si="10"/>
        <v>0</v>
      </c>
      <c r="L109" s="2">
        <f t="shared" si="11"/>
        <v>0</v>
      </c>
      <c r="M109" s="2">
        <f t="shared" si="12"/>
        <v>0</v>
      </c>
      <c r="N109" s="2">
        <f t="shared" si="13"/>
        <v>0</v>
      </c>
    </row>
    <row r="110" spans="1:14" x14ac:dyDescent="0.3">
      <c r="A110" s="3" t="s">
        <v>19</v>
      </c>
      <c r="B110" s="3">
        <v>4</v>
      </c>
      <c r="C110" s="3" t="s">
        <v>14</v>
      </c>
      <c r="D110" s="4" t="s">
        <v>11</v>
      </c>
      <c r="E110" s="4" t="s">
        <v>11</v>
      </c>
      <c r="F110" s="4" t="s">
        <v>11</v>
      </c>
      <c r="G110" s="2">
        <v>1383</v>
      </c>
      <c r="H110" s="2">
        <f t="shared" si="7"/>
        <v>1</v>
      </c>
      <c r="I110" s="2">
        <f t="shared" si="8"/>
        <v>0</v>
      </c>
      <c r="J110" s="2">
        <f t="shared" si="9"/>
        <v>0</v>
      </c>
      <c r="K110" s="2">
        <f t="shared" si="10"/>
        <v>0</v>
      </c>
      <c r="L110" s="2">
        <f t="shared" si="11"/>
        <v>0</v>
      </c>
      <c r="M110" s="2">
        <f t="shared" si="12"/>
        <v>0</v>
      </c>
      <c r="N110" s="2">
        <f t="shared" si="13"/>
        <v>0</v>
      </c>
    </row>
    <row r="111" spans="1:14" x14ac:dyDescent="0.3">
      <c r="A111" s="3" t="s">
        <v>19</v>
      </c>
      <c r="B111" s="3">
        <v>5</v>
      </c>
      <c r="C111" s="3" t="s">
        <v>8</v>
      </c>
      <c r="D111" s="4" t="s">
        <v>11</v>
      </c>
      <c r="E111" s="4" t="s">
        <v>11</v>
      </c>
      <c r="F111" s="4" t="s">
        <v>11</v>
      </c>
      <c r="G111" s="2">
        <v>842</v>
      </c>
      <c r="H111" s="2">
        <f t="shared" si="7"/>
        <v>0</v>
      </c>
      <c r="I111" s="2">
        <f t="shared" si="8"/>
        <v>1</v>
      </c>
      <c r="J111" s="2">
        <f t="shared" si="9"/>
        <v>0</v>
      </c>
      <c r="K111" s="2">
        <f t="shared" si="10"/>
        <v>0</v>
      </c>
      <c r="L111" s="2">
        <f t="shared" si="11"/>
        <v>0</v>
      </c>
      <c r="M111" s="2">
        <f t="shared" si="12"/>
        <v>0</v>
      </c>
      <c r="N111" s="2">
        <f t="shared" si="13"/>
        <v>0</v>
      </c>
    </row>
    <row r="112" spans="1:14" x14ac:dyDescent="0.3">
      <c r="A112" s="3" t="s">
        <v>19</v>
      </c>
      <c r="B112" s="3">
        <v>6</v>
      </c>
      <c r="C112" s="3" t="s">
        <v>10</v>
      </c>
      <c r="D112" s="4" t="s">
        <v>11</v>
      </c>
      <c r="E112" s="4" t="s">
        <v>11</v>
      </c>
      <c r="F112" s="4" t="s">
        <v>11</v>
      </c>
      <c r="G112" s="2">
        <v>923</v>
      </c>
      <c r="H112" s="2">
        <f t="shared" si="7"/>
        <v>0</v>
      </c>
      <c r="I112" s="2">
        <f t="shared" si="8"/>
        <v>0</v>
      </c>
      <c r="J112" s="2">
        <f t="shared" si="9"/>
        <v>1</v>
      </c>
      <c r="K112" s="2">
        <f t="shared" si="10"/>
        <v>0</v>
      </c>
      <c r="L112" s="2">
        <f t="shared" si="11"/>
        <v>0</v>
      </c>
      <c r="M112" s="2">
        <f t="shared" si="12"/>
        <v>0</v>
      </c>
      <c r="N112" s="2">
        <f t="shared" si="13"/>
        <v>0</v>
      </c>
    </row>
    <row r="113" spans="1:14" x14ac:dyDescent="0.3">
      <c r="A113" s="3" t="s">
        <v>19</v>
      </c>
      <c r="B113" s="3">
        <v>7</v>
      </c>
      <c r="C113" s="3" t="s">
        <v>12</v>
      </c>
      <c r="D113" s="4" t="s">
        <v>11</v>
      </c>
      <c r="E113" s="4" t="s">
        <v>11</v>
      </c>
      <c r="F113" s="4" t="s">
        <v>11</v>
      </c>
      <c r="G113" s="2">
        <v>959</v>
      </c>
      <c r="H113" s="2">
        <f t="shared" si="7"/>
        <v>0</v>
      </c>
      <c r="I113" s="2">
        <f t="shared" si="8"/>
        <v>0</v>
      </c>
      <c r="J113" s="2">
        <f t="shared" si="9"/>
        <v>0</v>
      </c>
      <c r="K113" s="2">
        <f t="shared" si="10"/>
        <v>1</v>
      </c>
      <c r="L113" s="2">
        <f t="shared" si="11"/>
        <v>0</v>
      </c>
      <c r="M113" s="2">
        <f t="shared" si="12"/>
        <v>0</v>
      </c>
      <c r="N113" s="2">
        <f t="shared" si="13"/>
        <v>0</v>
      </c>
    </row>
    <row r="114" spans="1:14" x14ac:dyDescent="0.3">
      <c r="A114" s="3" t="s">
        <v>19</v>
      </c>
      <c r="B114" s="3">
        <v>8</v>
      </c>
      <c r="C114" s="3" t="s">
        <v>13</v>
      </c>
      <c r="D114" s="4" t="s">
        <v>9</v>
      </c>
      <c r="E114" s="4" t="s">
        <v>11</v>
      </c>
      <c r="F114" s="4" t="s">
        <v>11</v>
      </c>
      <c r="G114" s="2">
        <v>1820</v>
      </c>
      <c r="H114" s="2">
        <f t="shared" si="7"/>
        <v>0</v>
      </c>
      <c r="I114" s="2">
        <f t="shared" si="8"/>
        <v>0</v>
      </c>
      <c r="J114" s="2">
        <f t="shared" si="9"/>
        <v>0</v>
      </c>
      <c r="K114" s="2">
        <f t="shared" si="10"/>
        <v>0</v>
      </c>
      <c r="L114" s="2">
        <f t="shared" si="11"/>
        <v>1</v>
      </c>
      <c r="M114" s="2">
        <f t="shared" si="12"/>
        <v>0</v>
      </c>
      <c r="N114" s="2">
        <f t="shared" si="13"/>
        <v>0</v>
      </c>
    </row>
    <row r="115" spans="1:14" x14ac:dyDescent="0.3">
      <c r="A115" s="3" t="s">
        <v>19</v>
      </c>
      <c r="B115" s="3">
        <v>11</v>
      </c>
      <c r="C115" s="3" t="s">
        <v>14</v>
      </c>
      <c r="D115" s="4" t="s">
        <v>11</v>
      </c>
      <c r="E115" s="4" t="s">
        <v>11</v>
      </c>
      <c r="F115" s="4" t="s">
        <v>11</v>
      </c>
      <c r="G115" s="2">
        <v>1164</v>
      </c>
      <c r="H115" s="2">
        <f t="shared" si="7"/>
        <v>1</v>
      </c>
      <c r="I115" s="2">
        <f t="shared" si="8"/>
        <v>0</v>
      </c>
      <c r="J115" s="2">
        <f t="shared" si="9"/>
        <v>0</v>
      </c>
      <c r="K115" s="2">
        <f t="shared" si="10"/>
        <v>0</v>
      </c>
      <c r="L115" s="2">
        <f t="shared" si="11"/>
        <v>0</v>
      </c>
      <c r="M115" s="2">
        <f t="shared" si="12"/>
        <v>0</v>
      </c>
      <c r="N115" s="2">
        <f t="shared" si="13"/>
        <v>0</v>
      </c>
    </row>
    <row r="116" spans="1:14" x14ac:dyDescent="0.3">
      <c r="A116" s="3" t="s">
        <v>19</v>
      </c>
      <c r="B116" s="3">
        <v>12</v>
      </c>
      <c r="C116" s="3" t="s">
        <v>8</v>
      </c>
      <c r="D116" s="4" t="s">
        <v>11</v>
      </c>
      <c r="E116" s="4" t="s">
        <v>11</v>
      </c>
      <c r="F116" s="4" t="s">
        <v>11</v>
      </c>
      <c r="G116" s="2">
        <v>928</v>
      </c>
      <c r="H116" s="2">
        <f t="shared" si="7"/>
        <v>0</v>
      </c>
      <c r="I116" s="2">
        <f t="shared" si="8"/>
        <v>1</v>
      </c>
      <c r="J116" s="2">
        <f t="shared" si="9"/>
        <v>0</v>
      </c>
      <c r="K116" s="2">
        <f t="shared" si="10"/>
        <v>0</v>
      </c>
      <c r="L116" s="2">
        <f t="shared" si="11"/>
        <v>0</v>
      </c>
      <c r="M116" s="2">
        <f t="shared" si="12"/>
        <v>0</v>
      </c>
      <c r="N116" s="2">
        <f t="shared" si="13"/>
        <v>0</v>
      </c>
    </row>
    <row r="117" spans="1:14" x14ac:dyDescent="0.3">
      <c r="A117" s="3" t="s">
        <v>19</v>
      </c>
      <c r="B117" s="3">
        <v>14</v>
      </c>
      <c r="C117" s="3" t="s">
        <v>12</v>
      </c>
      <c r="D117" s="4" t="s">
        <v>11</v>
      </c>
      <c r="E117" s="4" t="s">
        <v>11</v>
      </c>
      <c r="F117" s="4" t="s">
        <v>11</v>
      </c>
      <c r="G117" s="2">
        <v>919</v>
      </c>
      <c r="H117" s="2">
        <f t="shared" si="7"/>
        <v>0</v>
      </c>
      <c r="I117" s="2">
        <f t="shared" si="8"/>
        <v>0</v>
      </c>
      <c r="J117" s="2">
        <f t="shared" si="9"/>
        <v>0</v>
      </c>
      <c r="K117" s="2">
        <f t="shared" si="10"/>
        <v>1</v>
      </c>
      <c r="L117" s="2">
        <f t="shared" si="11"/>
        <v>0</v>
      </c>
      <c r="M117" s="2">
        <f t="shared" si="12"/>
        <v>0</v>
      </c>
      <c r="N117" s="2">
        <f t="shared" si="13"/>
        <v>0</v>
      </c>
    </row>
    <row r="118" spans="1:14" x14ac:dyDescent="0.3">
      <c r="A118" s="3" t="s">
        <v>19</v>
      </c>
      <c r="B118" s="3">
        <v>15</v>
      </c>
      <c r="C118" s="3" t="s">
        <v>13</v>
      </c>
      <c r="D118" s="4" t="s">
        <v>11</v>
      </c>
      <c r="E118" s="4" t="s">
        <v>11</v>
      </c>
      <c r="F118" s="4" t="s">
        <v>11</v>
      </c>
      <c r="G118" s="2">
        <v>1460</v>
      </c>
      <c r="H118" s="2">
        <f t="shared" si="7"/>
        <v>0</v>
      </c>
      <c r="I118" s="2">
        <f t="shared" si="8"/>
        <v>0</v>
      </c>
      <c r="J118" s="2">
        <f t="shared" si="9"/>
        <v>0</v>
      </c>
      <c r="K118" s="2">
        <f t="shared" si="10"/>
        <v>0</v>
      </c>
      <c r="L118" s="2">
        <f t="shared" si="11"/>
        <v>0</v>
      </c>
      <c r="M118" s="2">
        <f t="shared" si="12"/>
        <v>0</v>
      </c>
      <c r="N118" s="2">
        <f t="shared" si="13"/>
        <v>0</v>
      </c>
    </row>
    <row r="119" spans="1:14" x14ac:dyDescent="0.3">
      <c r="A119" s="3" t="s">
        <v>19</v>
      </c>
      <c r="B119" s="3">
        <v>18</v>
      </c>
      <c r="C119" s="3" t="s">
        <v>14</v>
      </c>
      <c r="D119" s="4" t="s">
        <v>11</v>
      </c>
      <c r="E119" s="4" t="s">
        <v>11</v>
      </c>
      <c r="F119" s="4" t="s">
        <v>11</v>
      </c>
      <c r="G119" s="2">
        <v>1081</v>
      </c>
      <c r="H119" s="2">
        <f t="shared" si="7"/>
        <v>1</v>
      </c>
      <c r="I119" s="2">
        <f t="shared" si="8"/>
        <v>0</v>
      </c>
      <c r="J119" s="2">
        <f t="shared" si="9"/>
        <v>0</v>
      </c>
      <c r="K119" s="2">
        <f t="shared" si="10"/>
        <v>0</v>
      </c>
      <c r="L119" s="2">
        <f t="shared" si="11"/>
        <v>0</v>
      </c>
      <c r="M119" s="2">
        <f t="shared" si="12"/>
        <v>0</v>
      </c>
      <c r="N119" s="2">
        <f t="shared" si="13"/>
        <v>0</v>
      </c>
    </row>
    <row r="120" spans="1:14" x14ac:dyDescent="0.3">
      <c r="A120" s="3" t="s">
        <v>19</v>
      </c>
      <c r="B120" s="3">
        <v>19</v>
      </c>
      <c r="C120" s="3" t="s">
        <v>8</v>
      </c>
      <c r="D120" s="4" t="s">
        <v>11</v>
      </c>
      <c r="E120" s="4" t="s">
        <v>11</v>
      </c>
      <c r="F120" s="4" t="s">
        <v>11</v>
      </c>
      <c r="G120" s="2">
        <v>993</v>
      </c>
      <c r="H120" s="2">
        <f t="shared" si="7"/>
        <v>0</v>
      </c>
      <c r="I120" s="2">
        <f t="shared" si="8"/>
        <v>1</v>
      </c>
      <c r="J120" s="2">
        <f t="shared" si="9"/>
        <v>0</v>
      </c>
      <c r="K120" s="2">
        <f t="shared" si="10"/>
        <v>0</v>
      </c>
      <c r="L120" s="2">
        <f t="shared" si="11"/>
        <v>0</v>
      </c>
      <c r="M120" s="2">
        <f t="shared" si="12"/>
        <v>0</v>
      </c>
      <c r="N120" s="2">
        <f t="shared" si="13"/>
        <v>0</v>
      </c>
    </row>
    <row r="121" spans="1:14" x14ac:dyDescent="0.3">
      <c r="A121" s="3" t="s">
        <v>19</v>
      </c>
      <c r="B121" s="3">
        <v>20</v>
      </c>
      <c r="C121" s="3" t="s">
        <v>10</v>
      </c>
      <c r="D121" s="4" t="s">
        <v>11</v>
      </c>
      <c r="E121" s="4" t="s">
        <v>11</v>
      </c>
      <c r="F121" s="4" t="s">
        <v>11</v>
      </c>
      <c r="G121" s="2">
        <v>862</v>
      </c>
      <c r="H121" s="2">
        <f t="shared" si="7"/>
        <v>0</v>
      </c>
      <c r="I121" s="2">
        <f t="shared" si="8"/>
        <v>0</v>
      </c>
      <c r="J121" s="2">
        <f t="shared" si="9"/>
        <v>1</v>
      </c>
      <c r="K121" s="2">
        <f t="shared" si="10"/>
        <v>0</v>
      </c>
      <c r="L121" s="2">
        <f t="shared" si="11"/>
        <v>0</v>
      </c>
      <c r="M121" s="2">
        <f t="shared" si="12"/>
        <v>0</v>
      </c>
      <c r="N121" s="2">
        <f t="shared" si="13"/>
        <v>0</v>
      </c>
    </row>
    <row r="122" spans="1:14" x14ac:dyDescent="0.3">
      <c r="A122" s="3" t="s">
        <v>19</v>
      </c>
      <c r="B122" s="3">
        <v>21</v>
      </c>
      <c r="C122" s="3" t="s">
        <v>12</v>
      </c>
      <c r="D122" s="4" t="s">
        <v>11</v>
      </c>
      <c r="E122" s="4" t="s">
        <v>11</v>
      </c>
      <c r="F122" s="4" t="s">
        <v>11</v>
      </c>
      <c r="G122" s="2">
        <v>900</v>
      </c>
      <c r="H122" s="2">
        <f t="shared" si="7"/>
        <v>0</v>
      </c>
      <c r="I122" s="2">
        <f t="shared" si="8"/>
        <v>0</v>
      </c>
      <c r="J122" s="2">
        <f t="shared" si="9"/>
        <v>0</v>
      </c>
      <c r="K122" s="2">
        <f t="shared" si="10"/>
        <v>1</v>
      </c>
      <c r="L122" s="2">
        <f t="shared" si="11"/>
        <v>0</v>
      </c>
      <c r="M122" s="2">
        <f t="shared" si="12"/>
        <v>0</v>
      </c>
      <c r="N122" s="2">
        <f t="shared" si="13"/>
        <v>0</v>
      </c>
    </row>
    <row r="123" spans="1:14" x14ac:dyDescent="0.3">
      <c r="A123" s="3" t="s">
        <v>19</v>
      </c>
      <c r="B123" s="3">
        <v>22</v>
      </c>
      <c r="C123" s="3" t="s">
        <v>13</v>
      </c>
      <c r="D123" s="4" t="s">
        <v>9</v>
      </c>
      <c r="E123" s="4" t="s">
        <v>11</v>
      </c>
      <c r="F123" s="4" t="s">
        <v>11</v>
      </c>
      <c r="G123" s="2">
        <v>1769</v>
      </c>
      <c r="H123" s="2">
        <f t="shared" si="7"/>
        <v>0</v>
      </c>
      <c r="I123" s="2">
        <f t="shared" si="8"/>
        <v>0</v>
      </c>
      <c r="J123" s="2">
        <f t="shared" si="9"/>
        <v>0</v>
      </c>
      <c r="K123" s="2">
        <f t="shared" si="10"/>
        <v>0</v>
      </c>
      <c r="L123" s="2">
        <f t="shared" si="11"/>
        <v>1</v>
      </c>
      <c r="M123" s="2">
        <f t="shared" si="12"/>
        <v>0</v>
      </c>
      <c r="N123" s="2">
        <f t="shared" si="13"/>
        <v>0</v>
      </c>
    </row>
    <row r="124" spans="1:14" x14ac:dyDescent="0.3">
      <c r="A124" s="3" t="s">
        <v>19</v>
      </c>
      <c r="B124" s="3">
        <v>25</v>
      </c>
      <c r="C124" s="3" t="s">
        <v>14</v>
      </c>
      <c r="D124" s="4" t="s">
        <v>11</v>
      </c>
      <c r="E124" s="4" t="s">
        <v>11</v>
      </c>
      <c r="F124" s="4" t="s">
        <v>11</v>
      </c>
      <c r="G124" s="2">
        <v>1059</v>
      </c>
      <c r="H124" s="2">
        <f t="shared" si="7"/>
        <v>1</v>
      </c>
      <c r="I124" s="2">
        <f t="shared" si="8"/>
        <v>0</v>
      </c>
      <c r="J124" s="2">
        <f t="shared" si="9"/>
        <v>0</v>
      </c>
      <c r="K124" s="2">
        <f t="shared" si="10"/>
        <v>0</v>
      </c>
      <c r="L124" s="2">
        <f t="shared" si="11"/>
        <v>0</v>
      </c>
      <c r="M124" s="2">
        <f t="shared" si="12"/>
        <v>0</v>
      </c>
      <c r="N124" s="2">
        <f t="shared" si="13"/>
        <v>0</v>
      </c>
    </row>
    <row r="125" spans="1:14" x14ac:dyDescent="0.3">
      <c r="A125" s="3" t="s">
        <v>19</v>
      </c>
      <c r="B125" s="3">
        <v>26</v>
      </c>
      <c r="C125" s="3" t="s">
        <v>8</v>
      </c>
      <c r="D125" s="4" t="s">
        <v>11</v>
      </c>
      <c r="E125" s="4" t="s">
        <v>11</v>
      </c>
      <c r="F125" s="4" t="s">
        <v>11</v>
      </c>
      <c r="G125" s="2">
        <v>924</v>
      </c>
      <c r="H125" s="2">
        <f t="shared" si="7"/>
        <v>0</v>
      </c>
      <c r="I125" s="2">
        <f t="shared" si="8"/>
        <v>1</v>
      </c>
      <c r="J125" s="2">
        <f t="shared" si="9"/>
        <v>0</v>
      </c>
      <c r="K125" s="2">
        <f t="shared" si="10"/>
        <v>0</v>
      </c>
      <c r="L125" s="2">
        <f t="shared" si="11"/>
        <v>0</v>
      </c>
      <c r="M125" s="2">
        <f t="shared" si="12"/>
        <v>0</v>
      </c>
      <c r="N125" s="2">
        <f t="shared" si="13"/>
        <v>0</v>
      </c>
    </row>
    <row r="126" spans="1:14" x14ac:dyDescent="0.3">
      <c r="A126" s="3" t="s">
        <v>19</v>
      </c>
      <c r="B126" s="3">
        <v>27</v>
      </c>
      <c r="C126" s="3" t="s">
        <v>10</v>
      </c>
      <c r="D126" s="4" t="s">
        <v>11</v>
      </c>
      <c r="E126" s="4" t="s">
        <v>11</v>
      </c>
      <c r="F126" s="4" t="s">
        <v>11</v>
      </c>
      <c r="G126" s="2">
        <v>859</v>
      </c>
      <c r="H126" s="2">
        <f t="shared" si="7"/>
        <v>0</v>
      </c>
      <c r="I126" s="2">
        <f t="shared" si="8"/>
        <v>0</v>
      </c>
      <c r="J126" s="2">
        <f t="shared" si="9"/>
        <v>1</v>
      </c>
      <c r="K126" s="2">
        <f t="shared" si="10"/>
        <v>0</v>
      </c>
      <c r="L126" s="2">
        <f t="shared" si="11"/>
        <v>0</v>
      </c>
      <c r="M126" s="2">
        <f t="shared" si="12"/>
        <v>0</v>
      </c>
      <c r="N126" s="2">
        <f t="shared" si="13"/>
        <v>0</v>
      </c>
    </row>
    <row r="127" spans="1:14" x14ac:dyDescent="0.3">
      <c r="A127" s="3" t="s">
        <v>19</v>
      </c>
      <c r="B127" s="3">
        <v>28</v>
      </c>
      <c r="C127" s="3" t="s">
        <v>12</v>
      </c>
      <c r="D127" s="4" t="s">
        <v>11</v>
      </c>
      <c r="E127" s="4" t="s">
        <v>11</v>
      </c>
      <c r="F127" s="4" t="s">
        <v>11</v>
      </c>
      <c r="G127" s="2">
        <v>805</v>
      </c>
      <c r="H127" s="2">
        <f t="shared" si="7"/>
        <v>0</v>
      </c>
      <c r="I127" s="2">
        <f t="shared" si="8"/>
        <v>0</v>
      </c>
      <c r="J127" s="2">
        <f t="shared" si="9"/>
        <v>0</v>
      </c>
      <c r="K127" s="2">
        <f t="shared" si="10"/>
        <v>1</v>
      </c>
      <c r="L127" s="2">
        <f t="shared" si="11"/>
        <v>0</v>
      </c>
      <c r="M127" s="2">
        <f t="shared" si="12"/>
        <v>0</v>
      </c>
      <c r="N127" s="2">
        <f t="shared" si="13"/>
        <v>0</v>
      </c>
    </row>
    <row r="128" spans="1:14" x14ac:dyDescent="0.3">
      <c r="A128" s="3" t="s">
        <v>19</v>
      </c>
      <c r="B128" s="3">
        <v>29</v>
      </c>
      <c r="C128" s="3" t="s">
        <v>13</v>
      </c>
      <c r="D128" s="4" t="s">
        <v>11</v>
      </c>
      <c r="E128" s="4" t="s">
        <v>11</v>
      </c>
      <c r="F128" s="4" t="s">
        <v>11</v>
      </c>
      <c r="G128" s="2">
        <v>1606</v>
      </c>
      <c r="H128" s="2">
        <f t="shared" si="7"/>
        <v>0</v>
      </c>
      <c r="I128" s="2">
        <f t="shared" si="8"/>
        <v>0</v>
      </c>
      <c r="J128" s="2">
        <f t="shared" si="9"/>
        <v>0</v>
      </c>
      <c r="K128" s="2">
        <f t="shared" si="10"/>
        <v>0</v>
      </c>
      <c r="L128" s="2">
        <f t="shared" si="11"/>
        <v>0</v>
      </c>
      <c r="M128" s="2">
        <f t="shared" si="12"/>
        <v>0</v>
      </c>
      <c r="N128" s="2">
        <f t="shared" si="13"/>
        <v>0</v>
      </c>
    </row>
    <row r="129" spans="1:14" x14ac:dyDescent="0.3">
      <c r="A129" s="3" t="s">
        <v>20</v>
      </c>
      <c r="B129" s="3">
        <v>2</v>
      </c>
      <c r="C129" s="3" t="s">
        <v>14</v>
      </c>
      <c r="D129" s="4" t="s">
        <v>11</v>
      </c>
      <c r="E129" s="4" t="s">
        <v>11</v>
      </c>
      <c r="F129" s="4" t="s">
        <v>11</v>
      </c>
      <c r="G129" s="2">
        <v>1648</v>
      </c>
      <c r="H129" s="2">
        <f t="shared" si="7"/>
        <v>1</v>
      </c>
      <c r="I129" s="2">
        <f t="shared" si="8"/>
        <v>0</v>
      </c>
      <c r="J129" s="2">
        <f t="shared" si="9"/>
        <v>0</v>
      </c>
      <c r="K129" s="2">
        <f t="shared" si="10"/>
        <v>0</v>
      </c>
      <c r="L129" s="2">
        <f t="shared" si="11"/>
        <v>0</v>
      </c>
      <c r="M129" s="2">
        <f t="shared" si="12"/>
        <v>0</v>
      </c>
      <c r="N129" s="2">
        <f t="shared" si="13"/>
        <v>0</v>
      </c>
    </row>
    <row r="130" spans="1:14" x14ac:dyDescent="0.3">
      <c r="A130" s="3" t="s">
        <v>20</v>
      </c>
      <c r="B130" s="3">
        <v>3</v>
      </c>
      <c r="C130" s="3" t="s">
        <v>8</v>
      </c>
      <c r="D130" s="4" t="s">
        <v>11</v>
      </c>
      <c r="E130" s="4" t="s">
        <v>11</v>
      </c>
      <c r="F130" s="4" t="s">
        <v>9</v>
      </c>
      <c r="G130" s="2">
        <v>1372</v>
      </c>
      <c r="H130" s="2">
        <f t="shared" si="7"/>
        <v>0</v>
      </c>
      <c r="I130" s="2">
        <f t="shared" si="8"/>
        <v>1</v>
      </c>
      <c r="J130" s="2">
        <f t="shared" si="9"/>
        <v>0</v>
      </c>
      <c r="K130" s="2">
        <f t="shared" si="10"/>
        <v>0</v>
      </c>
      <c r="L130" s="2">
        <f t="shared" si="11"/>
        <v>0</v>
      </c>
      <c r="M130" s="2">
        <f t="shared" si="12"/>
        <v>0</v>
      </c>
      <c r="N130" s="2">
        <f t="shared" si="13"/>
        <v>1</v>
      </c>
    </row>
    <row r="131" spans="1:14" x14ac:dyDescent="0.3">
      <c r="A131" s="3" t="s">
        <v>20</v>
      </c>
      <c r="B131" s="3">
        <v>5</v>
      </c>
      <c r="C131" s="3" t="s">
        <v>12</v>
      </c>
      <c r="D131" s="4" t="s">
        <v>11</v>
      </c>
      <c r="E131" s="4" t="s">
        <v>11</v>
      </c>
      <c r="F131" s="4" t="s">
        <v>9</v>
      </c>
      <c r="G131" s="2">
        <v>1283</v>
      </c>
      <c r="H131" s="2">
        <f t="shared" ref="H131:H194" si="14">IF(C131="Mon",1,0)</f>
        <v>0</v>
      </c>
      <c r="I131" s="2">
        <f t="shared" ref="I131:I194" si="15">IF(C131="Tue",1,0)</f>
        <v>0</v>
      </c>
      <c r="J131" s="2">
        <f t="shared" ref="J131:J194" si="16">IF(C131="Wed",1,0)</f>
        <v>0</v>
      </c>
      <c r="K131" s="2">
        <f t="shared" ref="K131:K194" si="17">IF(C131="Thu",1,0)</f>
        <v>1</v>
      </c>
      <c r="L131" s="2">
        <f t="shared" ref="L131:L194" si="18">IF(D131="Yes",1,0)</f>
        <v>0</v>
      </c>
      <c r="M131" s="2">
        <f t="shared" ref="M131:M194" si="19">IF(E131="Yes",1,0)</f>
        <v>0</v>
      </c>
      <c r="N131" s="2">
        <f t="shared" ref="N131:N194" si="20">IF(F131="Yes",1,0)</f>
        <v>1</v>
      </c>
    </row>
    <row r="132" spans="1:14" x14ac:dyDescent="0.3">
      <c r="A132" s="3" t="s">
        <v>20</v>
      </c>
      <c r="B132" s="3">
        <v>6</v>
      </c>
      <c r="C132" s="3" t="s">
        <v>13</v>
      </c>
      <c r="D132" s="4" t="s">
        <v>9</v>
      </c>
      <c r="E132" s="4" t="s">
        <v>11</v>
      </c>
      <c r="F132" s="4" t="s">
        <v>11</v>
      </c>
      <c r="G132" s="2">
        <v>1740</v>
      </c>
      <c r="H132" s="2">
        <f t="shared" si="14"/>
        <v>0</v>
      </c>
      <c r="I132" s="2">
        <f t="shared" si="15"/>
        <v>0</v>
      </c>
      <c r="J132" s="2">
        <f t="shared" si="16"/>
        <v>0</v>
      </c>
      <c r="K132" s="2">
        <f t="shared" si="17"/>
        <v>0</v>
      </c>
      <c r="L132" s="2">
        <f t="shared" si="18"/>
        <v>1</v>
      </c>
      <c r="M132" s="2">
        <f t="shared" si="19"/>
        <v>0</v>
      </c>
      <c r="N132" s="2">
        <f t="shared" si="20"/>
        <v>0</v>
      </c>
    </row>
    <row r="133" spans="1:14" x14ac:dyDescent="0.3">
      <c r="A133" s="3" t="s">
        <v>20</v>
      </c>
      <c r="B133" s="3">
        <v>9</v>
      </c>
      <c r="C133" s="3" t="s">
        <v>14</v>
      </c>
      <c r="D133" s="4" t="s">
        <v>11</v>
      </c>
      <c r="E133" s="4" t="s">
        <v>11</v>
      </c>
      <c r="F133" s="4" t="s">
        <v>11</v>
      </c>
      <c r="G133" s="2">
        <v>1195</v>
      </c>
      <c r="H133" s="2">
        <f t="shared" si="14"/>
        <v>1</v>
      </c>
      <c r="I133" s="2">
        <f t="shared" si="15"/>
        <v>0</v>
      </c>
      <c r="J133" s="2">
        <f t="shared" si="16"/>
        <v>0</v>
      </c>
      <c r="K133" s="2">
        <f t="shared" si="17"/>
        <v>0</v>
      </c>
      <c r="L133" s="2">
        <f t="shared" si="18"/>
        <v>0</v>
      </c>
      <c r="M133" s="2">
        <f t="shared" si="19"/>
        <v>0</v>
      </c>
      <c r="N133" s="2">
        <f t="shared" si="20"/>
        <v>0</v>
      </c>
    </row>
    <row r="134" spans="1:14" x14ac:dyDescent="0.3">
      <c r="A134" s="3" t="s">
        <v>20</v>
      </c>
      <c r="B134" s="3">
        <v>10</v>
      </c>
      <c r="C134" s="3" t="s">
        <v>8</v>
      </c>
      <c r="D134" s="4" t="s">
        <v>11</v>
      </c>
      <c r="E134" s="4" t="s">
        <v>11</v>
      </c>
      <c r="F134" s="4" t="s">
        <v>11</v>
      </c>
      <c r="G134" s="2">
        <v>880</v>
      </c>
      <c r="H134" s="2">
        <f t="shared" si="14"/>
        <v>0</v>
      </c>
      <c r="I134" s="2">
        <f t="shared" si="15"/>
        <v>1</v>
      </c>
      <c r="J134" s="2">
        <f t="shared" si="16"/>
        <v>0</v>
      </c>
      <c r="K134" s="2">
        <f t="shared" si="17"/>
        <v>0</v>
      </c>
      <c r="L134" s="2">
        <f t="shared" si="18"/>
        <v>0</v>
      </c>
      <c r="M134" s="2">
        <f t="shared" si="19"/>
        <v>0</v>
      </c>
      <c r="N134" s="2">
        <f t="shared" si="20"/>
        <v>0</v>
      </c>
    </row>
    <row r="135" spans="1:14" x14ac:dyDescent="0.3">
      <c r="A135" s="3" t="s">
        <v>20</v>
      </c>
      <c r="B135" s="3">
        <v>11</v>
      </c>
      <c r="C135" s="3" t="s">
        <v>10</v>
      </c>
      <c r="D135" s="4" t="s">
        <v>11</v>
      </c>
      <c r="E135" s="4" t="s">
        <v>11</v>
      </c>
      <c r="F135" s="4" t="s">
        <v>11</v>
      </c>
      <c r="G135" s="2">
        <v>855</v>
      </c>
      <c r="H135" s="2">
        <f t="shared" si="14"/>
        <v>0</v>
      </c>
      <c r="I135" s="2">
        <f t="shared" si="15"/>
        <v>0</v>
      </c>
      <c r="J135" s="2">
        <f t="shared" si="16"/>
        <v>1</v>
      </c>
      <c r="K135" s="2">
        <f t="shared" si="17"/>
        <v>0</v>
      </c>
      <c r="L135" s="2">
        <f t="shared" si="18"/>
        <v>0</v>
      </c>
      <c r="M135" s="2">
        <f t="shared" si="19"/>
        <v>0</v>
      </c>
      <c r="N135" s="2">
        <f t="shared" si="20"/>
        <v>0</v>
      </c>
    </row>
    <row r="136" spans="1:14" x14ac:dyDescent="0.3">
      <c r="A136" s="3" t="s">
        <v>20</v>
      </c>
      <c r="B136" s="3">
        <v>12</v>
      </c>
      <c r="C136" s="3" t="s">
        <v>12</v>
      </c>
      <c r="D136" s="4" t="s">
        <v>11</v>
      </c>
      <c r="E136" s="4" t="s">
        <v>11</v>
      </c>
      <c r="F136" s="4" t="s">
        <v>11</v>
      </c>
      <c r="G136" s="2">
        <v>955</v>
      </c>
      <c r="H136" s="2">
        <f t="shared" si="14"/>
        <v>0</v>
      </c>
      <c r="I136" s="2">
        <f t="shared" si="15"/>
        <v>0</v>
      </c>
      <c r="J136" s="2">
        <f t="shared" si="16"/>
        <v>0</v>
      </c>
      <c r="K136" s="2">
        <f t="shared" si="17"/>
        <v>1</v>
      </c>
      <c r="L136" s="2">
        <f t="shared" si="18"/>
        <v>0</v>
      </c>
      <c r="M136" s="2">
        <f t="shared" si="19"/>
        <v>0</v>
      </c>
      <c r="N136" s="2">
        <f t="shared" si="20"/>
        <v>0</v>
      </c>
    </row>
    <row r="137" spans="1:14" x14ac:dyDescent="0.3">
      <c r="A137" s="3" t="s">
        <v>20</v>
      </c>
      <c r="B137" s="3">
        <v>13</v>
      </c>
      <c r="C137" s="3" t="s">
        <v>13</v>
      </c>
      <c r="D137" s="4" t="s">
        <v>11</v>
      </c>
      <c r="E137" s="4" t="s">
        <v>11</v>
      </c>
      <c r="F137" s="4" t="s">
        <v>11</v>
      </c>
      <c r="G137" s="2">
        <v>1466</v>
      </c>
      <c r="H137" s="2">
        <f t="shared" si="14"/>
        <v>0</v>
      </c>
      <c r="I137" s="2">
        <f t="shared" si="15"/>
        <v>0</v>
      </c>
      <c r="J137" s="2">
        <f t="shared" si="16"/>
        <v>0</v>
      </c>
      <c r="K137" s="2">
        <f t="shared" si="17"/>
        <v>0</v>
      </c>
      <c r="L137" s="2">
        <f t="shared" si="18"/>
        <v>0</v>
      </c>
      <c r="M137" s="2">
        <f t="shared" si="19"/>
        <v>0</v>
      </c>
      <c r="N137" s="2">
        <f t="shared" si="20"/>
        <v>0</v>
      </c>
    </row>
    <row r="138" spans="1:14" x14ac:dyDescent="0.3">
      <c r="A138" s="3" t="s">
        <v>20</v>
      </c>
      <c r="B138" s="3">
        <v>16</v>
      </c>
      <c r="C138" s="3" t="s">
        <v>14</v>
      </c>
      <c r="D138" s="4" t="s">
        <v>11</v>
      </c>
      <c r="E138" s="4" t="s">
        <v>11</v>
      </c>
      <c r="F138" s="4" t="s">
        <v>11</v>
      </c>
      <c r="G138" s="2">
        <v>1290</v>
      </c>
      <c r="H138" s="2">
        <f t="shared" si="14"/>
        <v>1</v>
      </c>
      <c r="I138" s="2">
        <f t="shared" si="15"/>
        <v>0</v>
      </c>
      <c r="J138" s="2">
        <f t="shared" si="16"/>
        <v>0</v>
      </c>
      <c r="K138" s="2">
        <f t="shared" si="17"/>
        <v>0</v>
      </c>
      <c r="L138" s="2">
        <f t="shared" si="18"/>
        <v>0</v>
      </c>
      <c r="M138" s="2">
        <f t="shared" si="19"/>
        <v>0</v>
      </c>
      <c r="N138" s="2">
        <f t="shared" si="20"/>
        <v>0</v>
      </c>
    </row>
    <row r="139" spans="1:14" x14ac:dyDescent="0.3">
      <c r="A139" s="3" t="s">
        <v>20</v>
      </c>
      <c r="B139" s="3">
        <v>17</v>
      </c>
      <c r="C139" s="3" t="s">
        <v>8</v>
      </c>
      <c r="D139" s="4" t="s">
        <v>11</v>
      </c>
      <c r="E139" s="4" t="s">
        <v>11</v>
      </c>
      <c r="F139" s="4" t="s">
        <v>11</v>
      </c>
      <c r="G139" s="2">
        <v>968</v>
      </c>
      <c r="H139" s="2">
        <f t="shared" si="14"/>
        <v>0</v>
      </c>
      <c r="I139" s="2">
        <f t="shared" si="15"/>
        <v>1</v>
      </c>
      <c r="J139" s="2">
        <f t="shared" si="16"/>
        <v>0</v>
      </c>
      <c r="K139" s="2">
        <f t="shared" si="17"/>
        <v>0</v>
      </c>
      <c r="L139" s="2">
        <f t="shared" si="18"/>
        <v>0</v>
      </c>
      <c r="M139" s="2">
        <f t="shared" si="19"/>
        <v>0</v>
      </c>
      <c r="N139" s="2">
        <f t="shared" si="20"/>
        <v>0</v>
      </c>
    </row>
    <row r="140" spans="1:14" x14ac:dyDescent="0.3">
      <c r="A140" s="3" t="s">
        <v>20</v>
      </c>
      <c r="B140" s="3">
        <v>18</v>
      </c>
      <c r="C140" s="3" t="s">
        <v>10</v>
      </c>
      <c r="D140" s="4" t="s">
        <v>11</v>
      </c>
      <c r="E140" s="4" t="s">
        <v>11</v>
      </c>
      <c r="F140" s="4" t="s">
        <v>11</v>
      </c>
      <c r="G140" s="2">
        <v>831</v>
      </c>
      <c r="H140" s="2">
        <f t="shared" si="14"/>
        <v>0</v>
      </c>
      <c r="I140" s="2">
        <f t="shared" si="15"/>
        <v>0</v>
      </c>
      <c r="J140" s="2">
        <f t="shared" si="16"/>
        <v>1</v>
      </c>
      <c r="K140" s="2">
        <f t="shared" si="17"/>
        <v>0</v>
      </c>
      <c r="L140" s="2">
        <f t="shared" si="18"/>
        <v>0</v>
      </c>
      <c r="M140" s="2">
        <f t="shared" si="19"/>
        <v>0</v>
      </c>
      <c r="N140" s="2">
        <f t="shared" si="20"/>
        <v>0</v>
      </c>
    </row>
    <row r="141" spans="1:14" x14ac:dyDescent="0.3">
      <c r="A141" s="3" t="s">
        <v>20</v>
      </c>
      <c r="B141" s="3">
        <v>19</v>
      </c>
      <c r="C141" s="3" t="s">
        <v>12</v>
      </c>
      <c r="D141" s="4" t="s">
        <v>11</v>
      </c>
      <c r="E141" s="4" t="s">
        <v>11</v>
      </c>
      <c r="F141" s="4" t="s">
        <v>11</v>
      </c>
      <c r="G141" s="2">
        <v>838</v>
      </c>
      <c r="H141" s="2">
        <f t="shared" si="14"/>
        <v>0</v>
      </c>
      <c r="I141" s="2">
        <f t="shared" si="15"/>
        <v>0</v>
      </c>
      <c r="J141" s="2">
        <f t="shared" si="16"/>
        <v>0</v>
      </c>
      <c r="K141" s="2">
        <f t="shared" si="17"/>
        <v>1</v>
      </c>
      <c r="L141" s="2">
        <f t="shared" si="18"/>
        <v>0</v>
      </c>
      <c r="M141" s="2">
        <f t="shared" si="19"/>
        <v>0</v>
      </c>
      <c r="N141" s="2">
        <f t="shared" si="20"/>
        <v>0</v>
      </c>
    </row>
    <row r="142" spans="1:14" x14ac:dyDescent="0.3">
      <c r="A142" s="3" t="s">
        <v>20</v>
      </c>
      <c r="B142" s="3">
        <v>20</v>
      </c>
      <c r="C142" s="3" t="s">
        <v>13</v>
      </c>
      <c r="D142" s="4" t="s">
        <v>9</v>
      </c>
      <c r="E142" s="4" t="s">
        <v>11</v>
      </c>
      <c r="F142" s="4" t="s">
        <v>11</v>
      </c>
      <c r="G142" s="2">
        <v>1747</v>
      </c>
      <c r="H142" s="2">
        <f t="shared" si="14"/>
        <v>0</v>
      </c>
      <c r="I142" s="2">
        <f t="shared" si="15"/>
        <v>0</v>
      </c>
      <c r="J142" s="2">
        <f t="shared" si="16"/>
        <v>0</v>
      </c>
      <c r="K142" s="2">
        <f t="shared" si="17"/>
        <v>0</v>
      </c>
      <c r="L142" s="2">
        <f t="shared" si="18"/>
        <v>1</v>
      </c>
      <c r="M142" s="2">
        <f t="shared" si="19"/>
        <v>0</v>
      </c>
      <c r="N142" s="2">
        <f t="shared" si="20"/>
        <v>0</v>
      </c>
    </row>
    <row r="143" spans="1:14" x14ac:dyDescent="0.3">
      <c r="A143" s="3" t="s">
        <v>20</v>
      </c>
      <c r="B143" s="3">
        <v>23</v>
      </c>
      <c r="C143" s="3" t="s">
        <v>14</v>
      </c>
      <c r="D143" s="4" t="s">
        <v>11</v>
      </c>
      <c r="E143" s="4" t="s">
        <v>11</v>
      </c>
      <c r="F143" s="4" t="s">
        <v>11</v>
      </c>
      <c r="G143" s="2">
        <v>1182</v>
      </c>
      <c r="H143" s="2">
        <f t="shared" si="14"/>
        <v>1</v>
      </c>
      <c r="I143" s="2">
        <f t="shared" si="15"/>
        <v>0</v>
      </c>
      <c r="J143" s="2">
        <f t="shared" si="16"/>
        <v>0</v>
      </c>
      <c r="K143" s="2">
        <f t="shared" si="17"/>
        <v>0</v>
      </c>
      <c r="L143" s="2">
        <f t="shared" si="18"/>
        <v>0</v>
      </c>
      <c r="M143" s="2">
        <f t="shared" si="19"/>
        <v>0</v>
      </c>
      <c r="N143" s="2">
        <f t="shared" si="20"/>
        <v>0</v>
      </c>
    </row>
    <row r="144" spans="1:14" x14ac:dyDescent="0.3">
      <c r="A144" s="3" t="s">
        <v>20</v>
      </c>
      <c r="B144" s="3">
        <v>24</v>
      </c>
      <c r="C144" s="3" t="s">
        <v>8</v>
      </c>
      <c r="D144" s="4" t="s">
        <v>11</v>
      </c>
      <c r="E144" s="4" t="s">
        <v>11</v>
      </c>
      <c r="F144" s="4" t="s">
        <v>11</v>
      </c>
      <c r="G144" s="2">
        <v>842</v>
      </c>
      <c r="H144" s="2">
        <f t="shared" si="14"/>
        <v>0</v>
      </c>
      <c r="I144" s="2">
        <f t="shared" si="15"/>
        <v>1</v>
      </c>
      <c r="J144" s="2">
        <f t="shared" si="16"/>
        <v>0</v>
      </c>
      <c r="K144" s="2">
        <f t="shared" si="17"/>
        <v>0</v>
      </c>
      <c r="L144" s="2">
        <f t="shared" si="18"/>
        <v>0</v>
      </c>
      <c r="M144" s="2">
        <f t="shared" si="19"/>
        <v>0</v>
      </c>
      <c r="N144" s="2">
        <f t="shared" si="20"/>
        <v>0</v>
      </c>
    </row>
    <row r="145" spans="1:14" x14ac:dyDescent="0.3">
      <c r="A145" s="3" t="s">
        <v>20</v>
      </c>
      <c r="B145" s="3">
        <v>25</v>
      </c>
      <c r="C145" s="3" t="s">
        <v>10</v>
      </c>
      <c r="D145" s="4" t="s">
        <v>11</v>
      </c>
      <c r="E145" s="4" t="s">
        <v>11</v>
      </c>
      <c r="F145" s="4" t="s">
        <v>11</v>
      </c>
      <c r="G145" s="2">
        <v>818</v>
      </c>
      <c r="H145" s="2">
        <f t="shared" si="14"/>
        <v>0</v>
      </c>
      <c r="I145" s="2">
        <f t="shared" si="15"/>
        <v>0</v>
      </c>
      <c r="J145" s="2">
        <f t="shared" si="16"/>
        <v>1</v>
      </c>
      <c r="K145" s="2">
        <f t="shared" si="17"/>
        <v>0</v>
      </c>
      <c r="L145" s="2">
        <f t="shared" si="18"/>
        <v>0</v>
      </c>
      <c r="M145" s="2">
        <f t="shared" si="19"/>
        <v>0</v>
      </c>
      <c r="N145" s="2">
        <f t="shared" si="20"/>
        <v>0</v>
      </c>
    </row>
    <row r="146" spans="1:14" x14ac:dyDescent="0.3">
      <c r="A146" s="3" t="s">
        <v>20</v>
      </c>
      <c r="B146" s="3">
        <v>26</v>
      </c>
      <c r="C146" s="3" t="s">
        <v>12</v>
      </c>
      <c r="D146" s="4" t="s">
        <v>11</v>
      </c>
      <c r="E146" s="4" t="s">
        <v>11</v>
      </c>
      <c r="F146" s="4" t="s">
        <v>11</v>
      </c>
      <c r="G146" s="2">
        <v>822</v>
      </c>
      <c r="H146" s="2">
        <f t="shared" si="14"/>
        <v>0</v>
      </c>
      <c r="I146" s="2">
        <f t="shared" si="15"/>
        <v>0</v>
      </c>
      <c r="J146" s="2">
        <f t="shared" si="16"/>
        <v>0</v>
      </c>
      <c r="K146" s="2">
        <f t="shared" si="17"/>
        <v>1</v>
      </c>
      <c r="L146" s="2">
        <f t="shared" si="18"/>
        <v>0</v>
      </c>
      <c r="M146" s="2">
        <f t="shared" si="19"/>
        <v>0</v>
      </c>
      <c r="N146" s="2">
        <f t="shared" si="20"/>
        <v>0</v>
      </c>
    </row>
    <row r="147" spans="1:14" x14ac:dyDescent="0.3">
      <c r="A147" s="3" t="s">
        <v>20</v>
      </c>
      <c r="B147" s="3">
        <v>27</v>
      </c>
      <c r="C147" s="3" t="s">
        <v>13</v>
      </c>
      <c r="D147" s="4" t="s">
        <v>11</v>
      </c>
      <c r="E147" s="4" t="s">
        <v>11</v>
      </c>
      <c r="F147" s="4" t="s">
        <v>11</v>
      </c>
      <c r="G147" s="2">
        <v>1278</v>
      </c>
      <c r="H147" s="2">
        <f t="shared" si="14"/>
        <v>0</v>
      </c>
      <c r="I147" s="2">
        <f t="shared" si="15"/>
        <v>0</v>
      </c>
      <c r="J147" s="2">
        <f t="shared" si="16"/>
        <v>0</v>
      </c>
      <c r="K147" s="2">
        <f t="shared" si="17"/>
        <v>0</v>
      </c>
      <c r="L147" s="2">
        <f t="shared" si="18"/>
        <v>0</v>
      </c>
      <c r="M147" s="2">
        <f t="shared" si="19"/>
        <v>0</v>
      </c>
      <c r="N147" s="2">
        <f t="shared" si="20"/>
        <v>0</v>
      </c>
    </row>
    <row r="148" spans="1:14" x14ac:dyDescent="0.3">
      <c r="A148" s="3" t="s">
        <v>20</v>
      </c>
      <c r="B148" s="3">
        <v>30</v>
      </c>
      <c r="C148" s="3" t="s">
        <v>14</v>
      </c>
      <c r="D148" s="4" t="s">
        <v>11</v>
      </c>
      <c r="E148" s="4" t="s">
        <v>11</v>
      </c>
      <c r="F148" s="4" t="s">
        <v>11</v>
      </c>
      <c r="G148" s="2">
        <v>1184</v>
      </c>
      <c r="H148" s="2">
        <f t="shared" si="14"/>
        <v>1</v>
      </c>
      <c r="I148" s="2">
        <f t="shared" si="15"/>
        <v>0</v>
      </c>
      <c r="J148" s="2">
        <f t="shared" si="16"/>
        <v>0</v>
      </c>
      <c r="K148" s="2">
        <f t="shared" si="17"/>
        <v>0</v>
      </c>
      <c r="L148" s="2">
        <f t="shared" si="18"/>
        <v>0</v>
      </c>
      <c r="M148" s="2">
        <f t="shared" si="19"/>
        <v>0</v>
      </c>
      <c r="N148" s="2">
        <f t="shared" si="20"/>
        <v>0</v>
      </c>
    </row>
    <row r="149" spans="1:14" x14ac:dyDescent="0.3">
      <c r="A149" s="3" t="s">
        <v>20</v>
      </c>
      <c r="B149" s="3">
        <v>31</v>
      </c>
      <c r="C149" s="3" t="s">
        <v>8</v>
      </c>
      <c r="D149" s="4" t="s">
        <v>11</v>
      </c>
      <c r="E149" s="4" t="s">
        <v>11</v>
      </c>
      <c r="F149" s="4" t="s">
        <v>11</v>
      </c>
      <c r="G149" s="2">
        <v>989</v>
      </c>
      <c r="H149" s="2">
        <f t="shared" si="14"/>
        <v>0</v>
      </c>
      <c r="I149" s="2">
        <f t="shared" si="15"/>
        <v>1</v>
      </c>
      <c r="J149" s="2">
        <f t="shared" si="16"/>
        <v>0</v>
      </c>
      <c r="K149" s="2">
        <f t="shared" si="17"/>
        <v>0</v>
      </c>
      <c r="L149" s="2">
        <f t="shared" si="18"/>
        <v>0</v>
      </c>
      <c r="M149" s="2">
        <f t="shared" si="19"/>
        <v>0</v>
      </c>
      <c r="N149" s="2">
        <f t="shared" si="20"/>
        <v>0</v>
      </c>
    </row>
    <row r="150" spans="1:14" x14ac:dyDescent="0.3">
      <c r="A150" s="3" t="s">
        <v>21</v>
      </c>
      <c r="B150" s="3">
        <v>1</v>
      </c>
      <c r="C150" s="3" t="s">
        <v>10</v>
      </c>
      <c r="D150" s="4" t="s">
        <v>11</v>
      </c>
      <c r="E150" s="4" t="s">
        <v>11</v>
      </c>
      <c r="F150" s="4" t="s">
        <v>11</v>
      </c>
      <c r="G150" s="2">
        <v>1506</v>
      </c>
      <c r="H150" s="2">
        <f t="shared" si="14"/>
        <v>0</v>
      </c>
      <c r="I150" s="2">
        <f t="shared" si="15"/>
        <v>0</v>
      </c>
      <c r="J150" s="2">
        <f t="shared" si="16"/>
        <v>1</v>
      </c>
      <c r="K150" s="2">
        <f t="shared" si="17"/>
        <v>0</v>
      </c>
      <c r="L150" s="2">
        <f t="shared" si="18"/>
        <v>0</v>
      </c>
      <c r="M150" s="2">
        <f t="shared" si="19"/>
        <v>0</v>
      </c>
      <c r="N150" s="2">
        <f t="shared" si="20"/>
        <v>0</v>
      </c>
    </row>
    <row r="151" spans="1:14" x14ac:dyDescent="0.3">
      <c r="A151" s="3" t="s">
        <v>21</v>
      </c>
      <c r="B151" s="3">
        <v>2</v>
      </c>
      <c r="C151" s="3" t="s">
        <v>12</v>
      </c>
      <c r="D151" s="4" t="s">
        <v>11</v>
      </c>
      <c r="E151" s="4" t="s">
        <v>11</v>
      </c>
      <c r="F151" s="4" t="s">
        <v>11</v>
      </c>
      <c r="G151" s="2">
        <v>1155</v>
      </c>
      <c r="H151" s="2">
        <f t="shared" si="14"/>
        <v>0</v>
      </c>
      <c r="I151" s="2">
        <f t="shared" si="15"/>
        <v>0</v>
      </c>
      <c r="J151" s="2">
        <f t="shared" si="16"/>
        <v>0</v>
      </c>
      <c r="K151" s="2">
        <f t="shared" si="17"/>
        <v>1</v>
      </c>
      <c r="L151" s="2">
        <f t="shared" si="18"/>
        <v>0</v>
      </c>
      <c r="M151" s="2">
        <f t="shared" si="19"/>
        <v>0</v>
      </c>
      <c r="N151" s="2">
        <f t="shared" si="20"/>
        <v>0</v>
      </c>
    </row>
    <row r="152" spans="1:14" x14ac:dyDescent="0.3">
      <c r="A152" s="3" t="s">
        <v>21</v>
      </c>
      <c r="B152" s="3">
        <v>3</v>
      </c>
      <c r="C152" s="3" t="s">
        <v>13</v>
      </c>
      <c r="D152" s="4" t="s">
        <v>9</v>
      </c>
      <c r="E152" s="4" t="s">
        <v>11</v>
      </c>
      <c r="F152" s="4" t="s">
        <v>11</v>
      </c>
      <c r="G152" s="2">
        <v>1889</v>
      </c>
      <c r="H152" s="2">
        <f t="shared" si="14"/>
        <v>0</v>
      </c>
      <c r="I152" s="2">
        <f t="shared" si="15"/>
        <v>0</v>
      </c>
      <c r="J152" s="2">
        <f t="shared" si="16"/>
        <v>0</v>
      </c>
      <c r="K152" s="2">
        <f t="shared" si="17"/>
        <v>0</v>
      </c>
      <c r="L152" s="2">
        <f t="shared" si="18"/>
        <v>1</v>
      </c>
      <c r="M152" s="2">
        <f t="shared" si="19"/>
        <v>0</v>
      </c>
      <c r="N152" s="2">
        <f t="shared" si="20"/>
        <v>0</v>
      </c>
    </row>
    <row r="153" spans="1:14" x14ac:dyDescent="0.3">
      <c r="A153" s="3" t="s">
        <v>21</v>
      </c>
      <c r="B153" s="3">
        <v>6</v>
      </c>
      <c r="C153" s="3" t="s">
        <v>14</v>
      </c>
      <c r="D153" s="4" t="s">
        <v>11</v>
      </c>
      <c r="E153" s="4" t="s">
        <v>11</v>
      </c>
      <c r="F153" s="4" t="s">
        <v>11</v>
      </c>
      <c r="G153" s="2">
        <v>1235</v>
      </c>
      <c r="H153" s="2">
        <f t="shared" si="14"/>
        <v>1</v>
      </c>
      <c r="I153" s="2">
        <f t="shared" si="15"/>
        <v>0</v>
      </c>
      <c r="J153" s="2">
        <f t="shared" si="16"/>
        <v>0</v>
      </c>
      <c r="K153" s="2">
        <f t="shared" si="17"/>
        <v>0</v>
      </c>
      <c r="L153" s="2">
        <f t="shared" si="18"/>
        <v>0</v>
      </c>
      <c r="M153" s="2">
        <f t="shared" si="19"/>
        <v>0</v>
      </c>
      <c r="N153" s="2">
        <f t="shared" si="20"/>
        <v>0</v>
      </c>
    </row>
    <row r="154" spans="1:14" x14ac:dyDescent="0.3">
      <c r="A154" s="3" t="s">
        <v>21</v>
      </c>
      <c r="B154" s="3">
        <v>7</v>
      </c>
      <c r="C154" s="3" t="s">
        <v>8</v>
      </c>
      <c r="D154" s="4" t="s">
        <v>11</v>
      </c>
      <c r="E154" s="4" t="s">
        <v>11</v>
      </c>
      <c r="F154" s="4" t="s">
        <v>11</v>
      </c>
      <c r="G154" s="2">
        <v>957</v>
      </c>
      <c r="H154" s="2">
        <f t="shared" si="14"/>
        <v>0</v>
      </c>
      <c r="I154" s="2">
        <f t="shared" si="15"/>
        <v>1</v>
      </c>
      <c r="J154" s="2">
        <f t="shared" si="16"/>
        <v>0</v>
      </c>
      <c r="K154" s="2">
        <f t="shared" si="17"/>
        <v>0</v>
      </c>
      <c r="L154" s="2">
        <f t="shared" si="18"/>
        <v>0</v>
      </c>
      <c r="M154" s="2">
        <f t="shared" si="19"/>
        <v>0</v>
      </c>
      <c r="N154" s="2">
        <f t="shared" si="20"/>
        <v>0</v>
      </c>
    </row>
    <row r="155" spans="1:14" x14ac:dyDescent="0.3">
      <c r="A155" s="3" t="s">
        <v>21</v>
      </c>
      <c r="B155" s="3">
        <v>8</v>
      </c>
      <c r="C155" s="3" t="s">
        <v>10</v>
      </c>
      <c r="D155" s="4" t="s">
        <v>11</v>
      </c>
      <c r="E155" s="4" t="s">
        <v>11</v>
      </c>
      <c r="F155" s="4" t="s">
        <v>11</v>
      </c>
      <c r="G155" s="2">
        <v>891</v>
      </c>
      <c r="H155" s="2">
        <f t="shared" si="14"/>
        <v>0</v>
      </c>
      <c r="I155" s="2">
        <f t="shared" si="15"/>
        <v>0</v>
      </c>
      <c r="J155" s="2">
        <f t="shared" si="16"/>
        <v>1</v>
      </c>
      <c r="K155" s="2">
        <f t="shared" si="17"/>
        <v>0</v>
      </c>
      <c r="L155" s="2">
        <f t="shared" si="18"/>
        <v>0</v>
      </c>
      <c r="M155" s="2">
        <f t="shared" si="19"/>
        <v>0</v>
      </c>
      <c r="N155" s="2">
        <f t="shared" si="20"/>
        <v>0</v>
      </c>
    </row>
    <row r="156" spans="1:14" x14ac:dyDescent="0.3">
      <c r="A156" s="3" t="s">
        <v>21</v>
      </c>
      <c r="B156" s="3">
        <v>9</v>
      </c>
      <c r="C156" s="3" t="s">
        <v>12</v>
      </c>
      <c r="D156" s="4" t="s">
        <v>11</v>
      </c>
      <c r="E156" s="4" t="s">
        <v>11</v>
      </c>
      <c r="F156" s="4" t="s">
        <v>11</v>
      </c>
      <c r="G156" s="2">
        <v>1067</v>
      </c>
      <c r="H156" s="2">
        <f t="shared" si="14"/>
        <v>0</v>
      </c>
      <c r="I156" s="2">
        <f t="shared" si="15"/>
        <v>0</v>
      </c>
      <c r="J156" s="2">
        <f t="shared" si="16"/>
        <v>0</v>
      </c>
      <c r="K156" s="2">
        <f t="shared" si="17"/>
        <v>1</v>
      </c>
      <c r="L156" s="2">
        <f t="shared" si="18"/>
        <v>0</v>
      </c>
      <c r="M156" s="2">
        <f t="shared" si="19"/>
        <v>0</v>
      </c>
      <c r="N156" s="2">
        <f t="shared" si="20"/>
        <v>0</v>
      </c>
    </row>
    <row r="157" spans="1:14" x14ac:dyDescent="0.3">
      <c r="A157" s="3" t="s">
        <v>21</v>
      </c>
      <c r="B157" s="3">
        <v>10</v>
      </c>
      <c r="C157" s="3" t="s">
        <v>13</v>
      </c>
      <c r="D157" s="4" t="s">
        <v>11</v>
      </c>
      <c r="E157" s="4" t="s">
        <v>11</v>
      </c>
      <c r="F157" s="4" t="s">
        <v>11</v>
      </c>
      <c r="G157" s="2">
        <v>1475</v>
      </c>
      <c r="H157" s="2">
        <f t="shared" si="14"/>
        <v>0</v>
      </c>
      <c r="I157" s="2">
        <f t="shared" si="15"/>
        <v>0</v>
      </c>
      <c r="J157" s="2">
        <f t="shared" si="16"/>
        <v>0</v>
      </c>
      <c r="K157" s="2">
        <f t="shared" si="17"/>
        <v>0</v>
      </c>
      <c r="L157" s="2">
        <f t="shared" si="18"/>
        <v>0</v>
      </c>
      <c r="M157" s="2">
        <f t="shared" si="19"/>
        <v>0</v>
      </c>
      <c r="N157" s="2">
        <f t="shared" si="20"/>
        <v>0</v>
      </c>
    </row>
    <row r="158" spans="1:14" x14ac:dyDescent="0.3">
      <c r="A158" s="3" t="s">
        <v>21</v>
      </c>
      <c r="B158" s="3">
        <v>13</v>
      </c>
      <c r="C158" s="3" t="s">
        <v>14</v>
      </c>
      <c r="D158" s="4" t="s">
        <v>11</v>
      </c>
      <c r="E158" s="4" t="s">
        <v>11</v>
      </c>
      <c r="F158" s="4" t="s">
        <v>11</v>
      </c>
      <c r="G158" s="2">
        <v>1051</v>
      </c>
      <c r="H158" s="2">
        <f t="shared" si="14"/>
        <v>1</v>
      </c>
      <c r="I158" s="2">
        <f t="shared" si="15"/>
        <v>0</v>
      </c>
      <c r="J158" s="2">
        <f t="shared" si="16"/>
        <v>0</v>
      </c>
      <c r="K158" s="2">
        <f t="shared" si="17"/>
        <v>0</v>
      </c>
      <c r="L158" s="2">
        <f t="shared" si="18"/>
        <v>0</v>
      </c>
      <c r="M158" s="2">
        <f t="shared" si="19"/>
        <v>0</v>
      </c>
      <c r="N158" s="2">
        <f t="shared" si="20"/>
        <v>0</v>
      </c>
    </row>
    <row r="159" spans="1:14" x14ac:dyDescent="0.3">
      <c r="A159" s="3" t="s">
        <v>21</v>
      </c>
      <c r="B159" s="3">
        <v>14</v>
      </c>
      <c r="C159" s="3" t="s">
        <v>8</v>
      </c>
      <c r="D159" s="4" t="s">
        <v>11</v>
      </c>
      <c r="E159" s="4" t="s">
        <v>11</v>
      </c>
      <c r="F159" s="4" t="s">
        <v>11</v>
      </c>
      <c r="G159" s="2">
        <v>742</v>
      </c>
      <c r="H159" s="2">
        <f t="shared" si="14"/>
        <v>0</v>
      </c>
      <c r="I159" s="2">
        <f t="shared" si="15"/>
        <v>1</v>
      </c>
      <c r="J159" s="2">
        <f t="shared" si="16"/>
        <v>0</v>
      </c>
      <c r="K159" s="2">
        <f t="shared" si="17"/>
        <v>0</v>
      </c>
      <c r="L159" s="2">
        <f t="shared" si="18"/>
        <v>0</v>
      </c>
      <c r="M159" s="2">
        <f t="shared" si="19"/>
        <v>0</v>
      </c>
      <c r="N159" s="2">
        <f t="shared" si="20"/>
        <v>0</v>
      </c>
    </row>
    <row r="160" spans="1:14" x14ac:dyDescent="0.3">
      <c r="A160" s="3" t="s">
        <v>21</v>
      </c>
      <c r="B160" s="3">
        <v>15</v>
      </c>
      <c r="C160" s="3" t="s">
        <v>10</v>
      </c>
      <c r="D160" s="4" t="s">
        <v>11</v>
      </c>
      <c r="E160" s="4" t="s">
        <v>11</v>
      </c>
      <c r="F160" s="4" t="s">
        <v>11</v>
      </c>
      <c r="G160" s="2">
        <v>903</v>
      </c>
      <c r="H160" s="2">
        <f t="shared" si="14"/>
        <v>0</v>
      </c>
      <c r="I160" s="2">
        <f t="shared" si="15"/>
        <v>0</v>
      </c>
      <c r="J160" s="2">
        <f t="shared" si="16"/>
        <v>1</v>
      </c>
      <c r="K160" s="2">
        <f t="shared" si="17"/>
        <v>0</v>
      </c>
      <c r="L160" s="2">
        <f t="shared" si="18"/>
        <v>0</v>
      </c>
      <c r="M160" s="2">
        <f t="shared" si="19"/>
        <v>0</v>
      </c>
      <c r="N160" s="2">
        <f t="shared" si="20"/>
        <v>0</v>
      </c>
    </row>
    <row r="161" spans="1:14" x14ac:dyDescent="0.3">
      <c r="A161" s="3" t="s">
        <v>21</v>
      </c>
      <c r="B161" s="3">
        <v>16</v>
      </c>
      <c r="C161" s="3" t="s">
        <v>12</v>
      </c>
      <c r="D161" s="4" t="s">
        <v>11</v>
      </c>
      <c r="E161" s="4" t="s">
        <v>11</v>
      </c>
      <c r="F161" s="4" t="s">
        <v>11</v>
      </c>
      <c r="G161" s="2">
        <v>793</v>
      </c>
      <c r="H161" s="2">
        <f t="shared" si="14"/>
        <v>0</v>
      </c>
      <c r="I161" s="2">
        <f t="shared" si="15"/>
        <v>0</v>
      </c>
      <c r="J161" s="2">
        <f t="shared" si="16"/>
        <v>0</v>
      </c>
      <c r="K161" s="2">
        <f t="shared" si="17"/>
        <v>1</v>
      </c>
      <c r="L161" s="2">
        <f t="shared" si="18"/>
        <v>0</v>
      </c>
      <c r="M161" s="2">
        <f t="shared" si="19"/>
        <v>0</v>
      </c>
      <c r="N161" s="2">
        <f t="shared" si="20"/>
        <v>0</v>
      </c>
    </row>
    <row r="162" spans="1:14" x14ac:dyDescent="0.3">
      <c r="A162" s="3" t="s">
        <v>21</v>
      </c>
      <c r="B162" s="3">
        <v>17</v>
      </c>
      <c r="C162" s="3" t="s">
        <v>13</v>
      </c>
      <c r="D162" s="4" t="s">
        <v>9</v>
      </c>
      <c r="E162" s="4" t="s">
        <v>11</v>
      </c>
      <c r="F162" s="4" t="s">
        <v>11</v>
      </c>
      <c r="G162" s="2">
        <v>1515</v>
      </c>
      <c r="H162" s="2">
        <f t="shared" si="14"/>
        <v>0</v>
      </c>
      <c r="I162" s="2">
        <f t="shared" si="15"/>
        <v>0</v>
      </c>
      <c r="J162" s="2">
        <f t="shared" si="16"/>
        <v>0</v>
      </c>
      <c r="K162" s="2">
        <f t="shared" si="17"/>
        <v>0</v>
      </c>
      <c r="L162" s="2">
        <f t="shared" si="18"/>
        <v>1</v>
      </c>
      <c r="M162" s="2">
        <f t="shared" si="19"/>
        <v>0</v>
      </c>
      <c r="N162" s="2">
        <f t="shared" si="20"/>
        <v>0</v>
      </c>
    </row>
    <row r="163" spans="1:14" x14ac:dyDescent="0.3">
      <c r="A163" s="3" t="s">
        <v>21</v>
      </c>
      <c r="B163" s="3">
        <v>20</v>
      </c>
      <c r="C163" s="3" t="s">
        <v>14</v>
      </c>
      <c r="D163" s="4" t="s">
        <v>11</v>
      </c>
      <c r="E163" s="4" t="s">
        <v>11</v>
      </c>
      <c r="F163" s="4" t="s">
        <v>11</v>
      </c>
      <c r="G163" s="2">
        <v>1127</v>
      </c>
      <c r="H163" s="2">
        <f t="shared" si="14"/>
        <v>1</v>
      </c>
      <c r="I163" s="2">
        <f t="shared" si="15"/>
        <v>0</v>
      </c>
      <c r="J163" s="2">
        <f t="shared" si="16"/>
        <v>0</v>
      </c>
      <c r="K163" s="2">
        <f t="shared" si="17"/>
        <v>0</v>
      </c>
      <c r="L163" s="2">
        <f t="shared" si="18"/>
        <v>0</v>
      </c>
      <c r="M163" s="2">
        <f t="shared" si="19"/>
        <v>0</v>
      </c>
      <c r="N163" s="2">
        <f t="shared" si="20"/>
        <v>0</v>
      </c>
    </row>
    <row r="164" spans="1:14" x14ac:dyDescent="0.3">
      <c r="A164" s="3" t="s">
        <v>21</v>
      </c>
      <c r="B164" s="3">
        <v>21</v>
      </c>
      <c r="C164" s="3" t="s">
        <v>8</v>
      </c>
      <c r="D164" s="4" t="s">
        <v>11</v>
      </c>
      <c r="E164" s="4" t="s">
        <v>11</v>
      </c>
      <c r="F164" s="4" t="s">
        <v>11</v>
      </c>
      <c r="G164" s="2">
        <v>860</v>
      </c>
      <c r="H164" s="2">
        <f t="shared" si="14"/>
        <v>0</v>
      </c>
      <c r="I164" s="2">
        <f t="shared" si="15"/>
        <v>1</v>
      </c>
      <c r="J164" s="2">
        <f t="shared" si="16"/>
        <v>0</v>
      </c>
      <c r="K164" s="2">
        <f t="shared" si="17"/>
        <v>0</v>
      </c>
      <c r="L164" s="2">
        <f t="shared" si="18"/>
        <v>0</v>
      </c>
      <c r="M164" s="2">
        <f t="shared" si="19"/>
        <v>0</v>
      </c>
      <c r="N164" s="2">
        <f t="shared" si="20"/>
        <v>0</v>
      </c>
    </row>
    <row r="165" spans="1:14" x14ac:dyDescent="0.3">
      <c r="A165" s="3" t="s">
        <v>21</v>
      </c>
      <c r="B165" s="3">
        <v>22</v>
      </c>
      <c r="C165" s="3" t="s">
        <v>10</v>
      </c>
      <c r="D165" s="4" t="s">
        <v>11</v>
      </c>
      <c r="E165" s="4" t="s">
        <v>11</v>
      </c>
      <c r="F165" s="4" t="s">
        <v>11</v>
      </c>
      <c r="G165" s="2">
        <v>778</v>
      </c>
      <c r="H165" s="2">
        <f t="shared" si="14"/>
        <v>0</v>
      </c>
      <c r="I165" s="2">
        <f t="shared" si="15"/>
        <v>0</v>
      </c>
      <c r="J165" s="2">
        <f t="shared" si="16"/>
        <v>1</v>
      </c>
      <c r="K165" s="2">
        <f t="shared" si="17"/>
        <v>0</v>
      </c>
      <c r="L165" s="2">
        <f t="shared" si="18"/>
        <v>0</v>
      </c>
      <c r="M165" s="2">
        <f t="shared" si="19"/>
        <v>0</v>
      </c>
      <c r="N165" s="2">
        <f t="shared" si="20"/>
        <v>0</v>
      </c>
    </row>
    <row r="166" spans="1:14" x14ac:dyDescent="0.3">
      <c r="A166" s="3" t="s">
        <v>21</v>
      </c>
      <c r="B166" s="3">
        <v>23</v>
      </c>
      <c r="C166" s="3" t="s">
        <v>12</v>
      </c>
      <c r="D166" s="4" t="s">
        <v>11</v>
      </c>
      <c r="E166" s="4" t="s">
        <v>11</v>
      </c>
      <c r="F166" s="4" t="s">
        <v>11</v>
      </c>
      <c r="G166" s="2">
        <v>784</v>
      </c>
      <c r="H166" s="2">
        <f t="shared" si="14"/>
        <v>0</v>
      </c>
      <c r="I166" s="2">
        <f t="shared" si="15"/>
        <v>0</v>
      </c>
      <c r="J166" s="2">
        <f t="shared" si="16"/>
        <v>0</v>
      </c>
      <c r="K166" s="2">
        <f t="shared" si="17"/>
        <v>1</v>
      </c>
      <c r="L166" s="2">
        <f t="shared" si="18"/>
        <v>0</v>
      </c>
      <c r="M166" s="2">
        <f t="shared" si="19"/>
        <v>0</v>
      </c>
      <c r="N166" s="2">
        <f t="shared" si="20"/>
        <v>0</v>
      </c>
    </row>
    <row r="167" spans="1:14" x14ac:dyDescent="0.3">
      <c r="A167" s="3" t="s">
        <v>21</v>
      </c>
      <c r="B167" s="3">
        <v>24</v>
      </c>
      <c r="C167" s="3" t="s">
        <v>13</v>
      </c>
      <c r="D167" s="4" t="s">
        <v>11</v>
      </c>
      <c r="E167" s="4" t="s">
        <v>11</v>
      </c>
      <c r="F167" s="4" t="s">
        <v>11</v>
      </c>
      <c r="G167" s="2">
        <v>1060</v>
      </c>
      <c r="H167" s="2">
        <f t="shared" si="14"/>
        <v>0</v>
      </c>
      <c r="I167" s="2">
        <f t="shared" si="15"/>
        <v>0</v>
      </c>
      <c r="J167" s="2">
        <f t="shared" si="16"/>
        <v>0</v>
      </c>
      <c r="K167" s="2">
        <f t="shared" si="17"/>
        <v>0</v>
      </c>
      <c r="L167" s="2">
        <f t="shared" si="18"/>
        <v>0</v>
      </c>
      <c r="M167" s="2">
        <f t="shared" si="19"/>
        <v>0</v>
      </c>
      <c r="N167" s="2">
        <f t="shared" si="20"/>
        <v>0</v>
      </c>
    </row>
    <row r="168" spans="1:14" x14ac:dyDescent="0.3">
      <c r="A168" s="3" t="s">
        <v>21</v>
      </c>
      <c r="B168" s="3">
        <v>27</v>
      </c>
      <c r="C168" s="3" t="s">
        <v>14</v>
      </c>
      <c r="D168" s="4" t="s">
        <v>11</v>
      </c>
      <c r="E168" s="4" t="s">
        <v>11</v>
      </c>
      <c r="F168" s="4" t="s">
        <v>11</v>
      </c>
      <c r="G168" s="2">
        <v>930</v>
      </c>
      <c r="H168" s="2">
        <f t="shared" si="14"/>
        <v>1</v>
      </c>
      <c r="I168" s="2">
        <f t="shared" si="15"/>
        <v>0</v>
      </c>
      <c r="J168" s="2">
        <f t="shared" si="16"/>
        <v>0</v>
      </c>
      <c r="K168" s="2">
        <f t="shared" si="17"/>
        <v>0</v>
      </c>
      <c r="L168" s="2">
        <f t="shared" si="18"/>
        <v>0</v>
      </c>
      <c r="M168" s="2">
        <f t="shared" si="19"/>
        <v>0</v>
      </c>
      <c r="N168" s="2">
        <f t="shared" si="20"/>
        <v>0</v>
      </c>
    </row>
    <row r="169" spans="1:14" x14ac:dyDescent="0.3">
      <c r="A169" s="3" t="s">
        <v>21</v>
      </c>
      <c r="B169" s="3">
        <v>28</v>
      </c>
      <c r="C169" s="3" t="s">
        <v>8</v>
      </c>
      <c r="D169" s="4" t="s">
        <v>11</v>
      </c>
      <c r="E169" s="4" t="s">
        <v>11</v>
      </c>
      <c r="F169" s="4" t="s">
        <v>11</v>
      </c>
      <c r="G169" s="2">
        <v>738</v>
      </c>
      <c r="H169" s="2">
        <f t="shared" si="14"/>
        <v>0</v>
      </c>
      <c r="I169" s="2">
        <f t="shared" si="15"/>
        <v>1</v>
      </c>
      <c r="J169" s="2">
        <f t="shared" si="16"/>
        <v>0</v>
      </c>
      <c r="K169" s="2">
        <f t="shared" si="17"/>
        <v>0</v>
      </c>
      <c r="L169" s="2">
        <f t="shared" si="18"/>
        <v>0</v>
      </c>
      <c r="M169" s="2">
        <f t="shared" si="19"/>
        <v>0</v>
      </c>
      <c r="N169" s="2">
        <f t="shared" si="20"/>
        <v>0</v>
      </c>
    </row>
    <row r="170" spans="1:14" x14ac:dyDescent="0.3">
      <c r="A170" s="3" t="s">
        <v>21</v>
      </c>
      <c r="B170" s="3">
        <v>29</v>
      </c>
      <c r="C170" s="3" t="s">
        <v>10</v>
      </c>
      <c r="D170" s="4" t="s">
        <v>11</v>
      </c>
      <c r="E170" s="4" t="s">
        <v>11</v>
      </c>
      <c r="F170" s="4" t="s">
        <v>11</v>
      </c>
      <c r="G170" s="2">
        <v>660</v>
      </c>
      <c r="H170" s="2">
        <f t="shared" si="14"/>
        <v>0</v>
      </c>
      <c r="I170" s="2">
        <f t="shared" si="15"/>
        <v>0</v>
      </c>
      <c r="J170" s="2">
        <f t="shared" si="16"/>
        <v>1</v>
      </c>
      <c r="K170" s="2">
        <f t="shared" si="17"/>
        <v>0</v>
      </c>
      <c r="L170" s="2">
        <f t="shared" si="18"/>
        <v>0</v>
      </c>
      <c r="M170" s="2">
        <f t="shared" si="19"/>
        <v>0</v>
      </c>
      <c r="N170" s="2">
        <f t="shared" si="20"/>
        <v>0</v>
      </c>
    </row>
    <row r="171" spans="1:14" x14ac:dyDescent="0.3">
      <c r="A171" s="3" t="s">
        <v>21</v>
      </c>
      <c r="B171" s="3">
        <v>30</v>
      </c>
      <c r="C171" s="3" t="s">
        <v>12</v>
      </c>
      <c r="D171" s="4" t="s">
        <v>11</v>
      </c>
      <c r="E171" s="4" t="s">
        <v>11</v>
      </c>
      <c r="F171" s="4" t="s">
        <v>11</v>
      </c>
      <c r="G171" s="2">
        <v>800</v>
      </c>
      <c r="H171" s="2">
        <f t="shared" si="14"/>
        <v>0</v>
      </c>
      <c r="I171" s="2">
        <f t="shared" si="15"/>
        <v>0</v>
      </c>
      <c r="J171" s="2">
        <f t="shared" si="16"/>
        <v>0</v>
      </c>
      <c r="K171" s="2">
        <f t="shared" si="17"/>
        <v>1</v>
      </c>
      <c r="L171" s="2">
        <f t="shared" si="18"/>
        <v>0</v>
      </c>
      <c r="M171" s="2">
        <f t="shared" si="19"/>
        <v>0</v>
      </c>
      <c r="N171" s="2">
        <f t="shared" si="20"/>
        <v>0</v>
      </c>
    </row>
    <row r="172" spans="1:14" x14ac:dyDescent="0.3">
      <c r="A172" s="3" t="s">
        <v>21</v>
      </c>
      <c r="B172" s="3">
        <v>31</v>
      </c>
      <c r="C172" s="3" t="s">
        <v>13</v>
      </c>
      <c r="D172" s="4" t="s">
        <v>9</v>
      </c>
      <c r="E172" s="4" t="s">
        <v>9</v>
      </c>
      <c r="F172" s="4" t="s">
        <v>9</v>
      </c>
      <c r="G172" s="2">
        <v>1897</v>
      </c>
      <c r="H172" s="2">
        <f t="shared" si="14"/>
        <v>0</v>
      </c>
      <c r="I172" s="2">
        <f t="shared" si="15"/>
        <v>0</v>
      </c>
      <c r="J172" s="2">
        <f t="shared" si="16"/>
        <v>0</v>
      </c>
      <c r="K172" s="2">
        <f t="shared" si="17"/>
        <v>0</v>
      </c>
      <c r="L172" s="2">
        <f t="shared" si="18"/>
        <v>1</v>
      </c>
      <c r="M172" s="2">
        <f t="shared" si="19"/>
        <v>1</v>
      </c>
      <c r="N172" s="2">
        <f t="shared" si="20"/>
        <v>1</v>
      </c>
    </row>
    <row r="173" spans="1:14" x14ac:dyDescent="0.3">
      <c r="A173" s="3" t="s">
        <v>22</v>
      </c>
      <c r="B173" s="3">
        <v>4</v>
      </c>
      <c r="C173" s="3" t="s">
        <v>8</v>
      </c>
      <c r="D173" s="4" t="s">
        <v>11</v>
      </c>
      <c r="E173" s="4" t="s">
        <v>11</v>
      </c>
      <c r="F173" s="4" t="s">
        <v>9</v>
      </c>
      <c r="G173" s="2">
        <v>1491</v>
      </c>
      <c r="H173" s="2">
        <f t="shared" si="14"/>
        <v>0</v>
      </c>
      <c r="I173" s="2">
        <f t="shared" si="15"/>
        <v>1</v>
      </c>
      <c r="J173" s="2">
        <f t="shared" si="16"/>
        <v>0</v>
      </c>
      <c r="K173" s="2">
        <f t="shared" si="17"/>
        <v>0</v>
      </c>
      <c r="L173" s="2">
        <f t="shared" si="18"/>
        <v>0</v>
      </c>
      <c r="M173" s="2">
        <f t="shared" si="19"/>
        <v>0</v>
      </c>
      <c r="N173" s="2">
        <f t="shared" si="20"/>
        <v>1</v>
      </c>
    </row>
    <row r="174" spans="1:14" x14ac:dyDescent="0.3">
      <c r="A174" s="3" t="s">
        <v>22</v>
      </c>
      <c r="B174" s="3">
        <v>5</v>
      </c>
      <c r="C174" s="3" t="s">
        <v>10</v>
      </c>
      <c r="D174" s="4" t="s">
        <v>11</v>
      </c>
      <c r="E174" s="4" t="s">
        <v>11</v>
      </c>
      <c r="F174" s="4" t="s">
        <v>11</v>
      </c>
      <c r="G174" s="2">
        <v>859</v>
      </c>
      <c r="H174" s="2">
        <f t="shared" si="14"/>
        <v>0</v>
      </c>
      <c r="I174" s="2">
        <f t="shared" si="15"/>
        <v>0</v>
      </c>
      <c r="J174" s="2">
        <f t="shared" si="16"/>
        <v>1</v>
      </c>
      <c r="K174" s="2">
        <f t="shared" si="17"/>
        <v>0</v>
      </c>
      <c r="L174" s="2">
        <f t="shared" si="18"/>
        <v>0</v>
      </c>
      <c r="M174" s="2">
        <f t="shared" si="19"/>
        <v>0</v>
      </c>
      <c r="N174" s="2">
        <f t="shared" si="20"/>
        <v>0</v>
      </c>
    </row>
    <row r="175" spans="1:14" x14ac:dyDescent="0.3">
      <c r="A175" s="3" t="s">
        <v>22</v>
      </c>
      <c r="B175" s="3">
        <v>6</v>
      </c>
      <c r="C175" s="3" t="s">
        <v>12</v>
      </c>
      <c r="D175" s="4" t="s">
        <v>11</v>
      </c>
      <c r="E175" s="4" t="s">
        <v>11</v>
      </c>
      <c r="F175" s="4" t="s">
        <v>11</v>
      </c>
      <c r="G175" s="2">
        <v>810</v>
      </c>
      <c r="H175" s="2">
        <f t="shared" si="14"/>
        <v>0</v>
      </c>
      <c r="I175" s="2">
        <f t="shared" si="15"/>
        <v>0</v>
      </c>
      <c r="J175" s="2">
        <f t="shared" si="16"/>
        <v>0</v>
      </c>
      <c r="K175" s="2">
        <f t="shared" si="17"/>
        <v>1</v>
      </c>
      <c r="L175" s="2">
        <f t="shared" si="18"/>
        <v>0</v>
      </c>
      <c r="M175" s="2">
        <f t="shared" si="19"/>
        <v>0</v>
      </c>
      <c r="N175" s="2">
        <f t="shared" si="20"/>
        <v>0</v>
      </c>
    </row>
    <row r="176" spans="1:14" x14ac:dyDescent="0.3">
      <c r="A176" s="3" t="s">
        <v>22</v>
      </c>
      <c r="B176" s="3">
        <v>7</v>
      </c>
      <c r="C176" s="3" t="s">
        <v>13</v>
      </c>
      <c r="D176" s="4" t="s">
        <v>11</v>
      </c>
      <c r="E176" s="4" t="s">
        <v>11</v>
      </c>
      <c r="F176" s="4" t="s">
        <v>11</v>
      </c>
      <c r="G176" s="2">
        <v>1173</v>
      </c>
      <c r="H176" s="2">
        <f t="shared" si="14"/>
        <v>0</v>
      </c>
      <c r="I176" s="2">
        <f t="shared" si="15"/>
        <v>0</v>
      </c>
      <c r="J176" s="2">
        <f t="shared" si="16"/>
        <v>0</v>
      </c>
      <c r="K176" s="2">
        <f t="shared" si="17"/>
        <v>0</v>
      </c>
      <c r="L176" s="2">
        <f t="shared" si="18"/>
        <v>0</v>
      </c>
      <c r="M176" s="2">
        <f t="shared" si="19"/>
        <v>0</v>
      </c>
      <c r="N176" s="2">
        <f t="shared" si="20"/>
        <v>0</v>
      </c>
    </row>
    <row r="177" spans="1:14" x14ac:dyDescent="0.3">
      <c r="A177" s="3" t="s">
        <v>22</v>
      </c>
      <c r="B177" s="3">
        <v>10</v>
      </c>
      <c r="C177" s="3" t="s">
        <v>14</v>
      </c>
      <c r="D177" s="4" t="s">
        <v>11</v>
      </c>
      <c r="E177" s="4" t="s">
        <v>11</v>
      </c>
      <c r="F177" s="4" t="s">
        <v>11</v>
      </c>
      <c r="G177" s="2">
        <v>929</v>
      </c>
      <c r="H177" s="2">
        <f t="shared" si="14"/>
        <v>1</v>
      </c>
      <c r="I177" s="2">
        <f t="shared" si="15"/>
        <v>0</v>
      </c>
      <c r="J177" s="2">
        <f t="shared" si="16"/>
        <v>0</v>
      </c>
      <c r="K177" s="2">
        <f t="shared" si="17"/>
        <v>0</v>
      </c>
      <c r="L177" s="2">
        <f t="shared" si="18"/>
        <v>0</v>
      </c>
      <c r="M177" s="2">
        <f t="shared" si="19"/>
        <v>0</v>
      </c>
      <c r="N177" s="2">
        <f t="shared" si="20"/>
        <v>0</v>
      </c>
    </row>
    <row r="178" spans="1:14" x14ac:dyDescent="0.3">
      <c r="A178" s="3" t="s">
        <v>22</v>
      </c>
      <c r="B178" s="3">
        <v>11</v>
      </c>
      <c r="C178" s="3" t="s">
        <v>8</v>
      </c>
      <c r="D178" s="4" t="s">
        <v>11</v>
      </c>
      <c r="E178" s="4" t="s">
        <v>11</v>
      </c>
      <c r="F178" s="4" t="s">
        <v>11</v>
      </c>
      <c r="G178" s="2">
        <v>701</v>
      </c>
      <c r="H178" s="2">
        <f t="shared" si="14"/>
        <v>0</v>
      </c>
      <c r="I178" s="2">
        <f t="shared" si="15"/>
        <v>1</v>
      </c>
      <c r="J178" s="2">
        <f t="shared" si="16"/>
        <v>0</v>
      </c>
      <c r="K178" s="2">
        <f t="shared" si="17"/>
        <v>0</v>
      </c>
      <c r="L178" s="2">
        <f t="shared" si="18"/>
        <v>0</v>
      </c>
      <c r="M178" s="2">
        <f t="shared" si="19"/>
        <v>0</v>
      </c>
      <c r="N178" s="2">
        <f t="shared" si="20"/>
        <v>0</v>
      </c>
    </row>
    <row r="179" spans="1:14" x14ac:dyDescent="0.3">
      <c r="A179" s="3" t="s">
        <v>22</v>
      </c>
      <c r="B179" s="3">
        <v>12</v>
      </c>
      <c r="C179" s="3" t="s">
        <v>10</v>
      </c>
      <c r="D179" s="4" t="s">
        <v>11</v>
      </c>
      <c r="E179" s="4" t="s">
        <v>11</v>
      </c>
      <c r="F179" s="4" t="s">
        <v>11</v>
      </c>
      <c r="G179" s="2">
        <v>647</v>
      </c>
      <c r="H179" s="2">
        <f t="shared" si="14"/>
        <v>0</v>
      </c>
      <c r="I179" s="2">
        <f t="shared" si="15"/>
        <v>0</v>
      </c>
      <c r="J179" s="2">
        <f t="shared" si="16"/>
        <v>1</v>
      </c>
      <c r="K179" s="2">
        <f t="shared" si="17"/>
        <v>0</v>
      </c>
      <c r="L179" s="2">
        <f t="shared" si="18"/>
        <v>0</v>
      </c>
      <c r="M179" s="2">
        <f t="shared" si="19"/>
        <v>0</v>
      </c>
      <c r="N179" s="2">
        <f t="shared" si="20"/>
        <v>0</v>
      </c>
    </row>
    <row r="180" spans="1:14" x14ac:dyDescent="0.3">
      <c r="A180" s="3" t="s">
        <v>22</v>
      </c>
      <c r="B180" s="3">
        <v>13</v>
      </c>
      <c r="C180" s="3" t="s">
        <v>12</v>
      </c>
      <c r="D180" s="4" t="s">
        <v>11</v>
      </c>
      <c r="E180" s="4" t="s">
        <v>11</v>
      </c>
      <c r="F180" s="4" t="s">
        <v>11</v>
      </c>
      <c r="G180" s="2">
        <v>851</v>
      </c>
      <c r="H180" s="2">
        <f t="shared" si="14"/>
        <v>0</v>
      </c>
      <c r="I180" s="2">
        <f t="shared" si="15"/>
        <v>0</v>
      </c>
      <c r="J180" s="2">
        <f t="shared" si="16"/>
        <v>0</v>
      </c>
      <c r="K180" s="2">
        <f t="shared" si="17"/>
        <v>1</v>
      </c>
      <c r="L180" s="2">
        <f t="shared" si="18"/>
        <v>0</v>
      </c>
      <c r="M180" s="2">
        <f t="shared" si="19"/>
        <v>0</v>
      </c>
      <c r="N180" s="2">
        <f t="shared" si="20"/>
        <v>0</v>
      </c>
    </row>
    <row r="181" spans="1:14" x14ac:dyDescent="0.3">
      <c r="A181" s="3" t="s">
        <v>22</v>
      </c>
      <c r="B181" s="3">
        <v>14</v>
      </c>
      <c r="C181" s="3" t="s">
        <v>13</v>
      </c>
      <c r="D181" s="4" t="s">
        <v>9</v>
      </c>
      <c r="E181" s="4" t="s">
        <v>11</v>
      </c>
      <c r="F181" s="4" t="s">
        <v>11</v>
      </c>
      <c r="G181" s="2">
        <v>1559</v>
      </c>
      <c r="H181" s="2">
        <f t="shared" si="14"/>
        <v>0</v>
      </c>
      <c r="I181" s="2">
        <f t="shared" si="15"/>
        <v>0</v>
      </c>
      <c r="J181" s="2">
        <f t="shared" si="16"/>
        <v>0</v>
      </c>
      <c r="K181" s="2">
        <f t="shared" si="17"/>
        <v>0</v>
      </c>
      <c r="L181" s="2">
        <f t="shared" si="18"/>
        <v>1</v>
      </c>
      <c r="M181" s="2">
        <f t="shared" si="19"/>
        <v>0</v>
      </c>
      <c r="N181" s="2">
        <f t="shared" si="20"/>
        <v>0</v>
      </c>
    </row>
    <row r="182" spans="1:14" x14ac:dyDescent="0.3">
      <c r="A182" s="3" t="s">
        <v>22</v>
      </c>
      <c r="B182" s="3">
        <v>17</v>
      </c>
      <c r="C182" s="3" t="s">
        <v>14</v>
      </c>
      <c r="D182" s="4" t="s">
        <v>11</v>
      </c>
      <c r="E182" s="4" t="s">
        <v>11</v>
      </c>
      <c r="F182" s="4" t="s">
        <v>11</v>
      </c>
      <c r="G182" s="2">
        <v>1090</v>
      </c>
      <c r="H182" s="2">
        <f t="shared" si="14"/>
        <v>1</v>
      </c>
      <c r="I182" s="2">
        <f t="shared" si="15"/>
        <v>0</v>
      </c>
      <c r="J182" s="2">
        <f t="shared" si="16"/>
        <v>0</v>
      </c>
      <c r="K182" s="2">
        <f t="shared" si="17"/>
        <v>0</v>
      </c>
      <c r="L182" s="2">
        <f t="shared" si="18"/>
        <v>0</v>
      </c>
      <c r="M182" s="2">
        <f t="shared" si="19"/>
        <v>0</v>
      </c>
      <c r="N182" s="2">
        <f t="shared" si="20"/>
        <v>0</v>
      </c>
    </row>
    <row r="183" spans="1:14" x14ac:dyDescent="0.3">
      <c r="A183" s="3" t="s">
        <v>22</v>
      </c>
      <c r="B183" s="3">
        <v>18</v>
      </c>
      <c r="C183" s="3" t="s">
        <v>8</v>
      </c>
      <c r="D183" s="4" t="s">
        <v>11</v>
      </c>
      <c r="E183" s="4" t="s">
        <v>11</v>
      </c>
      <c r="F183" s="4" t="s">
        <v>11</v>
      </c>
      <c r="G183" s="2">
        <v>404</v>
      </c>
      <c r="H183" s="2">
        <f t="shared" si="14"/>
        <v>0</v>
      </c>
      <c r="I183" s="2">
        <f t="shared" si="15"/>
        <v>1</v>
      </c>
      <c r="J183" s="2">
        <f t="shared" si="16"/>
        <v>0</v>
      </c>
      <c r="K183" s="2">
        <f t="shared" si="17"/>
        <v>0</v>
      </c>
      <c r="L183" s="2">
        <f t="shared" si="18"/>
        <v>0</v>
      </c>
      <c r="M183" s="2">
        <f t="shared" si="19"/>
        <v>0</v>
      </c>
      <c r="N183" s="2">
        <f t="shared" si="20"/>
        <v>0</v>
      </c>
    </row>
    <row r="184" spans="1:14" x14ac:dyDescent="0.3">
      <c r="A184" s="3" t="s">
        <v>22</v>
      </c>
      <c r="B184" s="3">
        <v>19</v>
      </c>
      <c r="C184" s="3" t="s">
        <v>10</v>
      </c>
      <c r="D184" s="4" t="s">
        <v>11</v>
      </c>
      <c r="E184" s="4" t="s">
        <v>11</v>
      </c>
      <c r="F184" s="4" t="s">
        <v>11</v>
      </c>
      <c r="G184" s="2">
        <v>586</v>
      </c>
      <c r="H184" s="2">
        <f t="shared" si="14"/>
        <v>0</v>
      </c>
      <c r="I184" s="2">
        <f t="shared" si="15"/>
        <v>0</v>
      </c>
      <c r="J184" s="2">
        <f t="shared" si="16"/>
        <v>1</v>
      </c>
      <c r="K184" s="2">
        <f t="shared" si="17"/>
        <v>0</v>
      </c>
      <c r="L184" s="2">
        <f t="shared" si="18"/>
        <v>0</v>
      </c>
      <c r="M184" s="2">
        <f t="shared" si="19"/>
        <v>0</v>
      </c>
      <c r="N184" s="2">
        <f t="shared" si="20"/>
        <v>0</v>
      </c>
    </row>
    <row r="185" spans="1:14" x14ac:dyDescent="0.3">
      <c r="A185" s="3" t="s">
        <v>22</v>
      </c>
      <c r="B185" s="3">
        <v>20</v>
      </c>
      <c r="C185" s="3" t="s">
        <v>12</v>
      </c>
      <c r="D185" s="4" t="s">
        <v>11</v>
      </c>
      <c r="E185" s="4" t="s">
        <v>11</v>
      </c>
      <c r="F185" s="4" t="s">
        <v>11</v>
      </c>
      <c r="G185" s="2">
        <v>683</v>
      </c>
      <c r="H185" s="2">
        <f t="shared" si="14"/>
        <v>0</v>
      </c>
      <c r="I185" s="2">
        <f t="shared" si="15"/>
        <v>0</v>
      </c>
      <c r="J185" s="2">
        <f t="shared" si="16"/>
        <v>0</v>
      </c>
      <c r="K185" s="2">
        <f t="shared" si="17"/>
        <v>1</v>
      </c>
      <c r="L185" s="2">
        <f t="shared" si="18"/>
        <v>0</v>
      </c>
      <c r="M185" s="2">
        <f t="shared" si="19"/>
        <v>0</v>
      </c>
      <c r="N185" s="2">
        <f t="shared" si="20"/>
        <v>0</v>
      </c>
    </row>
    <row r="186" spans="1:14" x14ac:dyDescent="0.3">
      <c r="A186" s="3" t="s">
        <v>22</v>
      </c>
      <c r="B186" s="3">
        <v>21</v>
      </c>
      <c r="C186" s="3" t="s">
        <v>13</v>
      </c>
      <c r="D186" s="4" t="s">
        <v>11</v>
      </c>
      <c r="E186" s="4" t="s">
        <v>11</v>
      </c>
      <c r="F186" s="4" t="s">
        <v>11</v>
      </c>
      <c r="G186" s="2">
        <v>1124</v>
      </c>
      <c r="H186" s="2">
        <f t="shared" si="14"/>
        <v>0</v>
      </c>
      <c r="I186" s="2">
        <f t="shared" si="15"/>
        <v>0</v>
      </c>
      <c r="J186" s="2">
        <f t="shared" si="16"/>
        <v>0</v>
      </c>
      <c r="K186" s="2">
        <f t="shared" si="17"/>
        <v>0</v>
      </c>
      <c r="L186" s="2">
        <f t="shared" si="18"/>
        <v>0</v>
      </c>
      <c r="M186" s="2">
        <f t="shared" si="19"/>
        <v>0</v>
      </c>
      <c r="N186" s="2">
        <f t="shared" si="20"/>
        <v>0</v>
      </c>
    </row>
    <row r="187" spans="1:14" x14ac:dyDescent="0.3">
      <c r="A187" s="3" t="s">
        <v>22</v>
      </c>
      <c r="B187" s="3">
        <v>24</v>
      </c>
      <c r="C187" s="3" t="s">
        <v>14</v>
      </c>
      <c r="D187" s="4" t="s">
        <v>11</v>
      </c>
      <c r="E187" s="4" t="s">
        <v>11</v>
      </c>
      <c r="F187" s="4" t="s">
        <v>11</v>
      </c>
      <c r="G187" s="2">
        <v>953</v>
      </c>
      <c r="H187" s="2">
        <f t="shared" si="14"/>
        <v>1</v>
      </c>
      <c r="I187" s="2">
        <f t="shared" si="15"/>
        <v>0</v>
      </c>
      <c r="J187" s="2">
        <f t="shared" si="16"/>
        <v>0</v>
      </c>
      <c r="K187" s="2">
        <f t="shared" si="17"/>
        <v>0</v>
      </c>
      <c r="L187" s="2">
        <f t="shared" si="18"/>
        <v>0</v>
      </c>
      <c r="M187" s="2">
        <f t="shared" si="19"/>
        <v>0</v>
      </c>
      <c r="N187" s="2">
        <f t="shared" si="20"/>
        <v>0</v>
      </c>
    </row>
    <row r="188" spans="1:14" x14ac:dyDescent="0.3">
      <c r="A188" s="3" t="s">
        <v>22</v>
      </c>
      <c r="B188" s="3">
        <v>25</v>
      </c>
      <c r="C188" s="3" t="s">
        <v>8</v>
      </c>
      <c r="D188" s="4" t="s">
        <v>11</v>
      </c>
      <c r="E188" s="4" t="s">
        <v>11</v>
      </c>
      <c r="F188" s="4" t="s">
        <v>11</v>
      </c>
      <c r="G188" s="2">
        <v>697</v>
      </c>
      <c r="H188" s="2">
        <f t="shared" si="14"/>
        <v>0</v>
      </c>
      <c r="I188" s="2">
        <f t="shared" si="15"/>
        <v>1</v>
      </c>
      <c r="J188" s="2">
        <f t="shared" si="16"/>
        <v>0</v>
      </c>
      <c r="K188" s="2">
        <f t="shared" si="17"/>
        <v>0</v>
      </c>
      <c r="L188" s="2">
        <f t="shared" si="18"/>
        <v>0</v>
      </c>
      <c r="M188" s="2">
        <f t="shared" si="19"/>
        <v>0</v>
      </c>
      <c r="N188" s="2">
        <f t="shared" si="20"/>
        <v>0</v>
      </c>
    </row>
    <row r="189" spans="1:14" x14ac:dyDescent="0.3">
      <c r="A189" s="3" t="s">
        <v>22</v>
      </c>
      <c r="B189" s="3">
        <v>26</v>
      </c>
      <c r="C189" s="3" t="s">
        <v>10</v>
      </c>
      <c r="D189" s="4" t="s">
        <v>11</v>
      </c>
      <c r="E189" s="4" t="s">
        <v>11</v>
      </c>
      <c r="F189" s="4" t="s">
        <v>11</v>
      </c>
      <c r="G189" s="2">
        <v>727</v>
      </c>
      <c r="H189" s="2">
        <f t="shared" si="14"/>
        <v>0</v>
      </c>
      <c r="I189" s="2">
        <f t="shared" si="15"/>
        <v>0</v>
      </c>
      <c r="J189" s="2">
        <f t="shared" si="16"/>
        <v>1</v>
      </c>
      <c r="K189" s="2">
        <f t="shared" si="17"/>
        <v>0</v>
      </c>
      <c r="L189" s="2">
        <f t="shared" si="18"/>
        <v>0</v>
      </c>
      <c r="M189" s="2">
        <f t="shared" si="19"/>
        <v>0</v>
      </c>
      <c r="N189" s="2">
        <f t="shared" si="20"/>
        <v>0</v>
      </c>
    </row>
    <row r="190" spans="1:14" x14ac:dyDescent="0.3">
      <c r="A190" s="3" t="s">
        <v>22</v>
      </c>
      <c r="B190" s="3">
        <v>27</v>
      </c>
      <c r="C190" s="3" t="s">
        <v>12</v>
      </c>
      <c r="D190" s="4" t="s">
        <v>11</v>
      </c>
      <c r="E190" s="4" t="s">
        <v>11</v>
      </c>
      <c r="F190" s="4" t="s">
        <v>11</v>
      </c>
      <c r="G190" s="2">
        <v>678</v>
      </c>
      <c r="H190" s="2">
        <f t="shared" si="14"/>
        <v>0</v>
      </c>
      <c r="I190" s="2">
        <f t="shared" si="15"/>
        <v>0</v>
      </c>
      <c r="J190" s="2">
        <f t="shared" si="16"/>
        <v>0</v>
      </c>
      <c r="K190" s="2">
        <f t="shared" si="17"/>
        <v>1</v>
      </c>
      <c r="L190" s="2">
        <f t="shared" si="18"/>
        <v>0</v>
      </c>
      <c r="M190" s="2">
        <f t="shared" si="19"/>
        <v>0</v>
      </c>
      <c r="N190" s="2">
        <f t="shared" si="20"/>
        <v>0</v>
      </c>
    </row>
    <row r="191" spans="1:14" x14ac:dyDescent="0.3">
      <c r="A191" s="3" t="s">
        <v>22</v>
      </c>
      <c r="B191" s="3">
        <v>28</v>
      </c>
      <c r="C191" s="3" t="s">
        <v>13</v>
      </c>
      <c r="D191" s="4" t="s">
        <v>9</v>
      </c>
      <c r="E191" s="4" t="s">
        <v>11</v>
      </c>
      <c r="F191" s="4" t="s">
        <v>11</v>
      </c>
      <c r="G191" s="2">
        <v>1761</v>
      </c>
      <c r="H191" s="2">
        <f t="shared" si="14"/>
        <v>0</v>
      </c>
      <c r="I191" s="2">
        <f t="shared" si="15"/>
        <v>0</v>
      </c>
      <c r="J191" s="2">
        <f t="shared" si="16"/>
        <v>0</v>
      </c>
      <c r="K191" s="2">
        <f t="shared" si="17"/>
        <v>0</v>
      </c>
      <c r="L191" s="2">
        <f t="shared" si="18"/>
        <v>1</v>
      </c>
      <c r="M191" s="2">
        <f t="shared" si="19"/>
        <v>0</v>
      </c>
      <c r="N191" s="2">
        <f t="shared" si="20"/>
        <v>0</v>
      </c>
    </row>
    <row r="192" spans="1:14" x14ac:dyDescent="0.3">
      <c r="A192" s="3" t="s">
        <v>23</v>
      </c>
      <c r="B192" s="3">
        <v>1</v>
      </c>
      <c r="C192" s="3" t="s">
        <v>14</v>
      </c>
      <c r="D192" s="4" t="s">
        <v>11</v>
      </c>
      <c r="E192" s="4" t="s">
        <v>9</v>
      </c>
      <c r="F192" s="4" t="s">
        <v>11</v>
      </c>
      <c r="G192" s="2">
        <v>1615</v>
      </c>
      <c r="H192" s="2">
        <f t="shared" si="14"/>
        <v>1</v>
      </c>
      <c r="I192" s="2">
        <f t="shared" si="15"/>
        <v>0</v>
      </c>
      <c r="J192" s="2">
        <f t="shared" si="16"/>
        <v>0</v>
      </c>
      <c r="K192" s="2">
        <f t="shared" si="17"/>
        <v>0</v>
      </c>
      <c r="L192" s="2">
        <f t="shared" si="18"/>
        <v>0</v>
      </c>
      <c r="M192" s="2">
        <f t="shared" si="19"/>
        <v>1</v>
      </c>
      <c r="N192" s="2">
        <f t="shared" si="20"/>
        <v>0</v>
      </c>
    </row>
    <row r="193" spans="1:14" x14ac:dyDescent="0.3">
      <c r="A193" s="3" t="s">
        <v>23</v>
      </c>
      <c r="B193" s="3">
        <v>2</v>
      </c>
      <c r="C193" s="3" t="s">
        <v>8</v>
      </c>
      <c r="D193" s="4" t="s">
        <v>11</v>
      </c>
      <c r="E193" s="4" t="s">
        <v>11</v>
      </c>
      <c r="F193" s="4" t="s">
        <v>11</v>
      </c>
      <c r="G193" s="2">
        <v>1019</v>
      </c>
      <c r="H193" s="2">
        <f t="shared" si="14"/>
        <v>0</v>
      </c>
      <c r="I193" s="2">
        <f t="shared" si="15"/>
        <v>1</v>
      </c>
      <c r="J193" s="2">
        <f t="shared" si="16"/>
        <v>0</v>
      </c>
      <c r="K193" s="2">
        <f t="shared" si="17"/>
        <v>0</v>
      </c>
      <c r="L193" s="2">
        <f t="shared" si="18"/>
        <v>0</v>
      </c>
      <c r="M193" s="2">
        <f t="shared" si="19"/>
        <v>0</v>
      </c>
      <c r="N193" s="2">
        <f t="shared" si="20"/>
        <v>0</v>
      </c>
    </row>
    <row r="194" spans="1:14" x14ac:dyDescent="0.3">
      <c r="A194" s="3" t="s">
        <v>23</v>
      </c>
      <c r="B194" s="3">
        <v>3</v>
      </c>
      <c r="C194" s="3" t="s">
        <v>10</v>
      </c>
      <c r="D194" s="4" t="s">
        <v>11</v>
      </c>
      <c r="E194" s="4" t="s">
        <v>11</v>
      </c>
      <c r="F194" s="4" t="s">
        <v>11</v>
      </c>
      <c r="G194" s="2">
        <v>854</v>
      </c>
      <c r="H194" s="2">
        <f t="shared" si="14"/>
        <v>0</v>
      </c>
      <c r="I194" s="2">
        <f t="shared" si="15"/>
        <v>0</v>
      </c>
      <c r="J194" s="2">
        <f t="shared" si="16"/>
        <v>1</v>
      </c>
      <c r="K194" s="2">
        <f t="shared" si="17"/>
        <v>0</v>
      </c>
      <c r="L194" s="2">
        <f t="shared" si="18"/>
        <v>0</v>
      </c>
      <c r="M194" s="2">
        <f t="shared" si="19"/>
        <v>0</v>
      </c>
      <c r="N194" s="2">
        <f t="shared" si="20"/>
        <v>0</v>
      </c>
    </row>
    <row r="195" spans="1:14" x14ac:dyDescent="0.3">
      <c r="A195" s="3" t="s">
        <v>23</v>
      </c>
      <c r="B195" s="3">
        <v>4</v>
      </c>
      <c r="C195" s="3" t="s">
        <v>12</v>
      </c>
      <c r="D195" s="4" t="s">
        <v>11</v>
      </c>
      <c r="E195" s="4" t="s">
        <v>11</v>
      </c>
      <c r="F195" s="4" t="s">
        <v>11</v>
      </c>
      <c r="G195" s="2">
        <v>897</v>
      </c>
      <c r="H195" s="2">
        <f t="shared" ref="H195:H255" si="21">IF(C195="Mon",1,0)</f>
        <v>0</v>
      </c>
      <c r="I195" s="2">
        <f t="shared" ref="I195:I255" si="22">IF(C195="Tue",1,0)</f>
        <v>0</v>
      </c>
      <c r="J195" s="2">
        <f t="shared" ref="J195:J255" si="23">IF(C195="Wed",1,0)</f>
        <v>0</v>
      </c>
      <c r="K195" s="2">
        <f t="shared" ref="K195:K255" si="24">IF(C195="Thu",1,0)</f>
        <v>1</v>
      </c>
      <c r="L195" s="2">
        <f t="shared" ref="L195:L255" si="25">IF(D195="Yes",1,0)</f>
        <v>0</v>
      </c>
      <c r="M195" s="2">
        <f t="shared" ref="M195:M255" si="26">IF(E195="Yes",1,0)</f>
        <v>0</v>
      </c>
      <c r="N195" s="2">
        <f t="shared" ref="N195:N255" si="27">IF(F195="Yes",1,0)</f>
        <v>0</v>
      </c>
    </row>
    <row r="196" spans="1:14" x14ac:dyDescent="0.3">
      <c r="A196" s="3" t="s">
        <v>23</v>
      </c>
      <c r="B196" s="3">
        <v>5</v>
      </c>
      <c r="C196" s="3" t="s">
        <v>13</v>
      </c>
      <c r="D196" s="4" t="s">
        <v>11</v>
      </c>
      <c r="E196" s="4" t="s">
        <v>11</v>
      </c>
      <c r="F196" s="4" t="s">
        <v>11</v>
      </c>
      <c r="G196" s="2">
        <v>1307</v>
      </c>
      <c r="H196" s="2">
        <f t="shared" si="21"/>
        <v>0</v>
      </c>
      <c r="I196" s="2">
        <f t="shared" si="22"/>
        <v>0</v>
      </c>
      <c r="J196" s="2">
        <f t="shared" si="23"/>
        <v>0</v>
      </c>
      <c r="K196" s="2">
        <f t="shared" si="24"/>
        <v>0</v>
      </c>
      <c r="L196" s="2">
        <f t="shared" si="25"/>
        <v>0</v>
      </c>
      <c r="M196" s="2">
        <f t="shared" si="26"/>
        <v>0</v>
      </c>
      <c r="N196" s="2">
        <f t="shared" si="27"/>
        <v>0</v>
      </c>
    </row>
    <row r="197" spans="1:14" x14ac:dyDescent="0.3">
      <c r="A197" s="3" t="s">
        <v>23</v>
      </c>
      <c r="B197" s="3">
        <v>8</v>
      </c>
      <c r="C197" s="3" t="s">
        <v>14</v>
      </c>
      <c r="D197" s="4" t="s">
        <v>11</v>
      </c>
      <c r="E197" s="4" t="s">
        <v>11</v>
      </c>
      <c r="F197" s="4" t="s">
        <v>11</v>
      </c>
      <c r="G197" s="2">
        <v>796</v>
      </c>
      <c r="H197" s="2">
        <f t="shared" si="21"/>
        <v>1</v>
      </c>
      <c r="I197" s="2">
        <f t="shared" si="22"/>
        <v>0</v>
      </c>
      <c r="J197" s="2">
        <f t="shared" si="23"/>
        <v>0</v>
      </c>
      <c r="K197" s="2">
        <f t="shared" si="24"/>
        <v>0</v>
      </c>
      <c r="L197" s="2">
        <f t="shared" si="25"/>
        <v>0</v>
      </c>
      <c r="M197" s="2">
        <f t="shared" si="26"/>
        <v>0</v>
      </c>
      <c r="N197" s="2">
        <f t="shared" si="27"/>
        <v>0</v>
      </c>
    </row>
    <row r="198" spans="1:14" x14ac:dyDescent="0.3">
      <c r="A198" s="3" t="s">
        <v>23</v>
      </c>
      <c r="B198" s="3">
        <v>9</v>
      </c>
      <c r="C198" s="3" t="s">
        <v>8</v>
      </c>
      <c r="D198" s="4" t="s">
        <v>11</v>
      </c>
      <c r="E198" s="4" t="s">
        <v>11</v>
      </c>
      <c r="F198" s="4" t="s">
        <v>11</v>
      </c>
      <c r="G198" s="2">
        <v>648</v>
      </c>
      <c r="H198" s="2">
        <f t="shared" si="21"/>
        <v>0</v>
      </c>
      <c r="I198" s="2">
        <f t="shared" si="22"/>
        <v>1</v>
      </c>
      <c r="J198" s="2">
        <f t="shared" si="23"/>
        <v>0</v>
      </c>
      <c r="K198" s="2">
        <f t="shared" si="24"/>
        <v>0</v>
      </c>
      <c r="L198" s="2">
        <f t="shared" si="25"/>
        <v>0</v>
      </c>
      <c r="M198" s="2">
        <f t="shared" si="26"/>
        <v>0</v>
      </c>
      <c r="N198" s="2">
        <f t="shared" si="27"/>
        <v>0</v>
      </c>
    </row>
    <row r="199" spans="1:14" x14ac:dyDescent="0.3">
      <c r="A199" s="3" t="s">
        <v>23</v>
      </c>
      <c r="B199" s="3">
        <v>10</v>
      </c>
      <c r="C199" s="3" t="s">
        <v>10</v>
      </c>
      <c r="D199" s="4" t="s">
        <v>11</v>
      </c>
      <c r="E199" s="4" t="s">
        <v>11</v>
      </c>
      <c r="F199" s="4" t="s">
        <v>11</v>
      </c>
      <c r="G199" s="2">
        <v>735</v>
      </c>
      <c r="H199" s="2">
        <f t="shared" si="21"/>
        <v>0</v>
      </c>
      <c r="I199" s="2">
        <f t="shared" si="22"/>
        <v>0</v>
      </c>
      <c r="J199" s="2">
        <f t="shared" si="23"/>
        <v>1</v>
      </c>
      <c r="K199" s="2">
        <f t="shared" si="24"/>
        <v>0</v>
      </c>
      <c r="L199" s="2">
        <f t="shared" si="25"/>
        <v>0</v>
      </c>
      <c r="M199" s="2">
        <f t="shared" si="26"/>
        <v>0</v>
      </c>
      <c r="N199" s="2">
        <f t="shared" si="27"/>
        <v>0</v>
      </c>
    </row>
    <row r="200" spans="1:14" x14ac:dyDescent="0.3">
      <c r="A200" s="3" t="s">
        <v>23</v>
      </c>
      <c r="B200" s="3">
        <v>11</v>
      </c>
      <c r="C200" s="3" t="s">
        <v>12</v>
      </c>
      <c r="D200" s="4" t="s">
        <v>11</v>
      </c>
      <c r="E200" s="4" t="s">
        <v>11</v>
      </c>
      <c r="F200" s="4" t="s">
        <v>11</v>
      </c>
      <c r="G200" s="2">
        <v>843</v>
      </c>
      <c r="H200" s="2">
        <f t="shared" si="21"/>
        <v>0</v>
      </c>
      <c r="I200" s="2">
        <f t="shared" si="22"/>
        <v>0</v>
      </c>
      <c r="J200" s="2">
        <f t="shared" si="23"/>
        <v>0</v>
      </c>
      <c r="K200" s="2">
        <f t="shared" si="24"/>
        <v>1</v>
      </c>
      <c r="L200" s="2">
        <f t="shared" si="25"/>
        <v>0</v>
      </c>
      <c r="M200" s="2">
        <f t="shared" si="26"/>
        <v>0</v>
      </c>
      <c r="N200" s="2">
        <f t="shared" si="27"/>
        <v>0</v>
      </c>
    </row>
    <row r="201" spans="1:14" x14ac:dyDescent="0.3">
      <c r="A201" s="3" t="s">
        <v>23</v>
      </c>
      <c r="B201" s="3">
        <v>12</v>
      </c>
      <c r="C201" s="3" t="s">
        <v>13</v>
      </c>
      <c r="D201" s="4" t="s">
        <v>9</v>
      </c>
      <c r="E201" s="4" t="s">
        <v>11</v>
      </c>
      <c r="F201" s="4" t="s">
        <v>11</v>
      </c>
      <c r="G201" s="2">
        <v>1759</v>
      </c>
      <c r="H201" s="2">
        <f t="shared" si="21"/>
        <v>0</v>
      </c>
      <c r="I201" s="2">
        <f t="shared" si="22"/>
        <v>0</v>
      </c>
      <c r="J201" s="2">
        <f t="shared" si="23"/>
        <v>0</v>
      </c>
      <c r="K201" s="2">
        <f t="shared" si="24"/>
        <v>0</v>
      </c>
      <c r="L201" s="2">
        <f t="shared" si="25"/>
        <v>1</v>
      </c>
      <c r="M201" s="2">
        <f t="shared" si="26"/>
        <v>0</v>
      </c>
      <c r="N201" s="2">
        <f t="shared" si="27"/>
        <v>0</v>
      </c>
    </row>
    <row r="202" spans="1:14" x14ac:dyDescent="0.3">
      <c r="A202" s="3" t="s">
        <v>23</v>
      </c>
      <c r="B202" s="3">
        <v>15</v>
      </c>
      <c r="C202" s="3" t="s">
        <v>14</v>
      </c>
      <c r="D202" s="4" t="s">
        <v>11</v>
      </c>
      <c r="E202" s="4" t="s">
        <v>11</v>
      </c>
      <c r="F202" s="4" t="s">
        <v>11</v>
      </c>
      <c r="G202" s="2">
        <v>1151</v>
      </c>
      <c r="H202" s="2">
        <f t="shared" si="21"/>
        <v>1</v>
      </c>
      <c r="I202" s="2">
        <f t="shared" si="22"/>
        <v>0</v>
      </c>
      <c r="J202" s="2">
        <f t="shared" si="23"/>
        <v>0</v>
      </c>
      <c r="K202" s="2">
        <f t="shared" si="24"/>
        <v>0</v>
      </c>
      <c r="L202" s="2">
        <f t="shared" si="25"/>
        <v>0</v>
      </c>
      <c r="M202" s="2">
        <f t="shared" si="26"/>
        <v>0</v>
      </c>
      <c r="N202" s="2">
        <f t="shared" si="27"/>
        <v>0</v>
      </c>
    </row>
    <row r="203" spans="1:14" x14ac:dyDescent="0.3">
      <c r="A203" s="3" t="s">
        <v>23</v>
      </c>
      <c r="B203" s="3">
        <v>16</v>
      </c>
      <c r="C203" s="3" t="s">
        <v>8</v>
      </c>
      <c r="D203" s="4" t="s">
        <v>11</v>
      </c>
      <c r="E203" s="4" t="s">
        <v>11</v>
      </c>
      <c r="F203" s="4" t="s">
        <v>11</v>
      </c>
      <c r="G203" s="2">
        <v>752</v>
      </c>
      <c r="H203" s="2">
        <f t="shared" si="21"/>
        <v>0</v>
      </c>
      <c r="I203" s="2">
        <f t="shared" si="22"/>
        <v>1</v>
      </c>
      <c r="J203" s="2">
        <f t="shared" si="23"/>
        <v>0</v>
      </c>
      <c r="K203" s="2">
        <f t="shared" si="24"/>
        <v>0</v>
      </c>
      <c r="L203" s="2">
        <f t="shared" si="25"/>
        <v>0</v>
      </c>
      <c r="M203" s="2">
        <f t="shared" si="26"/>
        <v>0</v>
      </c>
      <c r="N203" s="2">
        <f t="shared" si="27"/>
        <v>0</v>
      </c>
    </row>
    <row r="204" spans="1:14" x14ac:dyDescent="0.3">
      <c r="A204" s="3" t="s">
        <v>23</v>
      </c>
      <c r="B204" s="3">
        <v>17</v>
      </c>
      <c r="C204" s="3" t="s">
        <v>10</v>
      </c>
      <c r="D204" s="4" t="s">
        <v>11</v>
      </c>
      <c r="E204" s="4" t="s">
        <v>11</v>
      </c>
      <c r="F204" s="4" t="s">
        <v>11</v>
      </c>
      <c r="G204" s="2">
        <v>693</v>
      </c>
      <c r="H204" s="2">
        <f t="shared" si="21"/>
        <v>0</v>
      </c>
      <c r="I204" s="2">
        <f t="shared" si="22"/>
        <v>0</v>
      </c>
      <c r="J204" s="2">
        <f t="shared" si="23"/>
        <v>1</v>
      </c>
      <c r="K204" s="2">
        <f t="shared" si="24"/>
        <v>0</v>
      </c>
      <c r="L204" s="2">
        <f t="shared" si="25"/>
        <v>0</v>
      </c>
      <c r="M204" s="2">
        <f t="shared" si="26"/>
        <v>0</v>
      </c>
      <c r="N204" s="2">
        <f t="shared" si="27"/>
        <v>0</v>
      </c>
    </row>
    <row r="205" spans="1:14" x14ac:dyDescent="0.3">
      <c r="A205" s="3" t="s">
        <v>23</v>
      </c>
      <c r="B205" s="3">
        <v>18</v>
      </c>
      <c r="C205" s="3" t="s">
        <v>12</v>
      </c>
      <c r="D205" s="4" t="s">
        <v>11</v>
      </c>
      <c r="E205" s="4" t="s">
        <v>11</v>
      </c>
      <c r="F205" s="4" t="s">
        <v>11</v>
      </c>
      <c r="G205" s="2">
        <v>649</v>
      </c>
      <c r="H205" s="2">
        <f t="shared" si="21"/>
        <v>0</v>
      </c>
      <c r="I205" s="2">
        <f t="shared" si="22"/>
        <v>0</v>
      </c>
      <c r="J205" s="2">
        <f t="shared" si="23"/>
        <v>0</v>
      </c>
      <c r="K205" s="2">
        <f t="shared" si="24"/>
        <v>1</v>
      </c>
      <c r="L205" s="2">
        <f t="shared" si="25"/>
        <v>0</v>
      </c>
      <c r="M205" s="2">
        <f t="shared" si="26"/>
        <v>0</v>
      </c>
      <c r="N205" s="2">
        <f t="shared" si="27"/>
        <v>0</v>
      </c>
    </row>
    <row r="206" spans="1:14" x14ac:dyDescent="0.3">
      <c r="A206" s="3" t="s">
        <v>23</v>
      </c>
      <c r="B206" s="3">
        <v>19</v>
      </c>
      <c r="C206" s="3" t="s">
        <v>13</v>
      </c>
      <c r="D206" s="4" t="s">
        <v>11</v>
      </c>
      <c r="E206" s="4" t="s">
        <v>11</v>
      </c>
      <c r="F206" s="4" t="s">
        <v>11</v>
      </c>
      <c r="G206" s="2">
        <v>1158</v>
      </c>
      <c r="H206" s="2">
        <f t="shared" si="21"/>
        <v>0</v>
      </c>
      <c r="I206" s="2">
        <f t="shared" si="22"/>
        <v>0</v>
      </c>
      <c r="J206" s="2">
        <f t="shared" si="23"/>
        <v>0</v>
      </c>
      <c r="K206" s="2">
        <f t="shared" si="24"/>
        <v>0</v>
      </c>
      <c r="L206" s="2">
        <f t="shared" si="25"/>
        <v>0</v>
      </c>
      <c r="M206" s="2">
        <f t="shared" si="26"/>
        <v>0</v>
      </c>
      <c r="N206" s="2">
        <f t="shared" si="27"/>
        <v>0</v>
      </c>
    </row>
    <row r="207" spans="1:14" x14ac:dyDescent="0.3">
      <c r="A207" s="3" t="s">
        <v>23</v>
      </c>
      <c r="B207" s="3">
        <v>22</v>
      </c>
      <c r="C207" s="3" t="s">
        <v>14</v>
      </c>
      <c r="D207" s="4" t="s">
        <v>11</v>
      </c>
      <c r="E207" s="4" t="s">
        <v>11</v>
      </c>
      <c r="F207" s="4" t="s">
        <v>11</v>
      </c>
      <c r="G207" s="2">
        <v>931</v>
      </c>
      <c r="H207" s="2">
        <f t="shared" si="21"/>
        <v>1</v>
      </c>
      <c r="I207" s="2">
        <f t="shared" si="22"/>
        <v>0</v>
      </c>
      <c r="J207" s="2">
        <f t="shared" si="23"/>
        <v>0</v>
      </c>
      <c r="K207" s="2">
        <f t="shared" si="24"/>
        <v>0</v>
      </c>
      <c r="L207" s="2">
        <f t="shared" si="25"/>
        <v>0</v>
      </c>
      <c r="M207" s="2">
        <f t="shared" si="26"/>
        <v>0</v>
      </c>
      <c r="N207" s="2">
        <f t="shared" si="27"/>
        <v>0</v>
      </c>
    </row>
    <row r="208" spans="1:14" x14ac:dyDescent="0.3">
      <c r="A208" s="3" t="s">
        <v>23</v>
      </c>
      <c r="B208" s="3">
        <v>23</v>
      </c>
      <c r="C208" s="3" t="s">
        <v>8</v>
      </c>
      <c r="D208" s="4" t="s">
        <v>11</v>
      </c>
      <c r="E208" s="4" t="s">
        <v>11</v>
      </c>
      <c r="F208" s="4" t="s">
        <v>11</v>
      </c>
      <c r="G208" s="2">
        <v>761</v>
      </c>
      <c r="H208" s="2">
        <f t="shared" si="21"/>
        <v>0</v>
      </c>
      <c r="I208" s="2">
        <f t="shared" si="22"/>
        <v>1</v>
      </c>
      <c r="J208" s="2">
        <f t="shared" si="23"/>
        <v>0</v>
      </c>
      <c r="K208" s="2">
        <f t="shared" si="24"/>
        <v>0</v>
      </c>
      <c r="L208" s="2">
        <f t="shared" si="25"/>
        <v>0</v>
      </c>
      <c r="M208" s="2">
        <f t="shared" si="26"/>
        <v>0</v>
      </c>
      <c r="N208" s="2">
        <f t="shared" si="27"/>
        <v>0</v>
      </c>
    </row>
    <row r="209" spans="1:14" x14ac:dyDescent="0.3">
      <c r="A209" s="3" t="s">
        <v>23</v>
      </c>
      <c r="B209" s="3">
        <v>24</v>
      </c>
      <c r="C209" s="3" t="s">
        <v>10</v>
      </c>
      <c r="D209" s="4" t="s">
        <v>11</v>
      </c>
      <c r="E209" s="4" t="s">
        <v>11</v>
      </c>
      <c r="F209" s="4" t="s">
        <v>11</v>
      </c>
      <c r="G209" s="2">
        <v>670</v>
      </c>
      <c r="H209" s="2">
        <f t="shared" si="21"/>
        <v>0</v>
      </c>
      <c r="I209" s="2">
        <f t="shared" si="22"/>
        <v>0</v>
      </c>
      <c r="J209" s="2">
        <f t="shared" si="23"/>
        <v>1</v>
      </c>
      <c r="K209" s="2">
        <f t="shared" si="24"/>
        <v>0</v>
      </c>
      <c r="L209" s="2">
        <f t="shared" si="25"/>
        <v>0</v>
      </c>
      <c r="M209" s="2">
        <f t="shared" si="26"/>
        <v>0</v>
      </c>
      <c r="N209" s="2">
        <f t="shared" si="27"/>
        <v>0</v>
      </c>
    </row>
    <row r="210" spans="1:14" x14ac:dyDescent="0.3">
      <c r="A210" s="3" t="s">
        <v>23</v>
      </c>
      <c r="B210" s="3">
        <v>25</v>
      </c>
      <c r="C210" s="3" t="s">
        <v>12</v>
      </c>
      <c r="D210" s="4" t="s">
        <v>11</v>
      </c>
      <c r="E210" s="4" t="s">
        <v>11</v>
      </c>
      <c r="F210" s="4" t="s">
        <v>11</v>
      </c>
      <c r="G210" s="2">
        <v>820</v>
      </c>
      <c r="H210" s="2">
        <f t="shared" si="21"/>
        <v>0</v>
      </c>
      <c r="I210" s="2">
        <f t="shared" si="22"/>
        <v>0</v>
      </c>
      <c r="J210" s="2">
        <f t="shared" si="23"/>
        <v>0</v>
      </c>
      <c r="K210" s="2">
        <f t="shared" si="24"/>
        <v>1</v>
      </c>
      <c r="L210" s="2">
        <f t="shared" si="25"/>
        <v>0</v>
      </c>
      <c r="M210" s="2">
        <f t="shared" si="26"/>
        <v>0</v>
      </c>
      <c r="N210" s="2">
        <f t="shared" si="27"/>
        <v>0</v>
      </c>
    </row>
    <row r="211" spans="1:14" x14ac:dyDescent="0.3">
      <c r="A211" s="3" t="s">
        <v>23</v>
      </c>
      <c r="B211" s="3">
        <v>26</v>
      </c>
      <c r="C211" s="3" t="s">
        <v>13</v>
      </c>
      <c r="D211" s="4" t="s">
        <v>9</v>
      </c>
      <c r="E211" s="4" t="s">
        <v>11</v>
      </c>
      <c r="F211" s="4" t="s">
        <v>11</v>
      </c>
      <c r="G211" s="2">
        <v>1543</v>
      </c>
      <c r="H211" s="2">
        <f t="shared" si="21"/>
        <v>0</v>
      </c>
      <c r="I211" s="2">
        <f t="shared" si="22"/>
        <v>0</v>
      </c>
      <c r="J211" s="2">
        <f t="shared" si="23"/>
        <v>0</v>
      </c>
      <c r="K211" s="2">
        <f t="shared" si="24"/>
        <v>0</v>
      </c>
      <c r="L211" s="2">
        <f t="shared" si="25"/>
        <v>1</v>
      </c>
      <c r="M211" s="2">
        <f t="shared" si="26"/>
        <v>0</v>
      </c>
      <c r="N211" s="2">
        <f t="shared" si="27"/>
        <v>0</v>
      </c>
    </row>
    <row r="212" spans="1:14" x14ac:dyDescent="0.3">
      <c r="A212" s="3" t="s">
        <v>23</v>
      </c>
      <c r="B212" s="3">
        <v>29</v>
      </c>
      <c r="C212" s="3" t="s">
        <v>14</v>
      </c>
      <c r="D212" s="4" t="s">
        <v>11</v>
      </c>
      <c r="E212" s="4" t="s">
        <v>11</v>
      </c>
      <c r="F212" s="4" t="s">
        <v>11</v>
      </c>
      <c r="G212" s="2">
        <v>974</v>
      </c>
      <c r="H212" s="2">
        <f t="shared" si="21"/>
        <v>1</v>
      </c>
      <c r="I212" s="2">
        <f t="shared" si="22"/>
        <v>0</v>
      </c>
      <c r="J212" s="2">
        <f t="shared" si="23"/>
        <v>0</v>
      </c>
      <c r="K212" s="2">
        <f t="shared" si="24"/>
        <v>0</v>
      </c>
      <c r="L212" s="2">
        <f t="shared" si="25"/>
        <v>0</v>
      </c>
      <c r="M212" s="2">
        <f t="shared" si="26"/>
        <v>0</v>
      </c>
      <c r="N212" s="2">
        <f t="shared" si="27"/>
        <v>0</v>
      </c>
    </row>
    <row r="213" spans="1:14" x14ac:dyDescent="0.3">
      <c r="A213" s="3" t="s">
        <v>23</v>
      </c>
      <c r="B213" s="3">
        <v>30</v>
      </c>
      <c r="C213" s="3" t="s">
        <v>8</v>
      </c>
      <c r="D213" s="4" t="s">
        <v>11</v>
      </c>
      <c r="E213" s="4" t="s">
        <v>11</v>
      </c>
      <c r="F213" s="4" t="s">
        <v>11</v>
      </c>
      <c r="G213" s="2">
        <v>685</v>
      </c>
      <c r="H213" s="2">
        <f t="shared" si="21"/>
        <v>0</v>
      </c>
      <c r="I213" s="2">
        <f t="shared" si="22"/>
        <v>1</v>
      </c>
      <c r="J213" s="2">
        <f t="shared" si="23"/>
        <v>0</v>
      </c>
      <c r="K213" s="2">
        <f t="shared" si="24"/>
        <v>0</v>
      </c>
      <c r="L213" s="2">
        <f t="shared" si="25"/>
        <v>0</v>
      </c>
      <c r="M213" s="2">
        <f t="shared" si="26"/>
        <v>0</v>
      </c>
      <c r="N213" s="2">
        <f t="shared" si="27"/>
        <v>0</v>
      </c>
    </row>
    <row r="214" spans="1:14" x14ac:dyDescent="0.3">
      <c r="A214" s="3" t="s">
        <v>23</v>
      </c>
      <c r="B214" s="3">
        <v>31</v>
      </c>
      <c r="C214" s="3" t="s">
        <v>10</v>
      </c>
      <c r="D214" s="4" t="s">
        <v>11</v>
      </c>
      <c r="E214" s="4" t="s">
        <v>11</v>
      </c>
      <c r="F214" s="4" t="s">
        <v>11</v>
      </c>
      <c r="G214" s="2">
        <v>848</v>
      </c>
      <c r="H214" s="2">
        <f t="shared" si="21"/>
        <v>0</v>
      </c>
      <c r="I214" s="2">
        <f t="shared" si="22"/>
        <v>0</v>
      </c>
      <c r="J214" s="2">
        <f t="shared" si="23"/>
        <v>1</v>
      </c>
      <c r="K214" s="2">
        <f t="shared" si="24"/>
        <v>0</v>
      </c>
      <c r="L214" s="2">
        <f t="shared" si="25"/>
        <v>0</v>
      </c>
      <c r="M214" s="2">
        <f t="shared" si="26"/>
        <v>0</v>
      </c>
      <c r="N214" s="2">
        <f t="shared" si="27"/>
        <v>0</v>
      </c>
    </row>
    <row r="215" spans="1:14" x14ac:dyDescent="0.3">
      <c r="A215" s="3" t="s">
        <v>24</v>
      </c>
      <c r="B215" s="3">
        <v>1</v>
      </c>
      <c r="C215" s="3" t="s">
        <v>12</v>
      </c>
      <c r="D215" s="4" t="s">
        <v>11</v>
      </c>
      <c r="E215" s="4" t="s">
        <v>9</v>
      </c>
      <c r="F215" s="4" t="s">
        <v>11</v>
      </c>
      <c r="G215" s="2">
        <v>1406</v>
      </c>
      <c r="H215" s="2">
        <f t="shared" si="21"/>
        <v>0</v>
      </c>
      <c r="I215" s="2">
        <f t="shared" si="22"/>
        <v>0</v>
      </c>
      <c r="J215" s="2">
        <f t="shared" si="23"/>
        <v>0</v>
      </c>
      <c r="K215" s="2">
        <f t="shared" si="24"/>
        <v>1</v>
      </c>
      <c r="L215" s="2">
        <f t="shared" si="25"/>
        <v>0</v>
      </c>
      <c r="M215" s="2">
        <f t="shared" si="26"/>
        <v>1</v>
      </c>
      <c r="N215" s="2">
        <f t="shared" si="27"/>
        <v>0</v>
      </c>
    </row>
    <row r="216" spans="1:14" x14ac:dyDescent="0.3">
      <c r="A216" s="3" t="s">
        <v>24</v>
      </c>
      <c r="B216" s="3">
        <v>2</v>
      </c>
      <c r="C216" s="3" t="s">
        <v>13</v>
      </c>
      <c r="D216" s="4" t="s">
        <v>11</v>
      </c>
      <c r="E216" s="4" t="s">
        <v>11</v>
      </c>
      <c r="F216" s="4" t="s">
        <v>11</v>
      </c>
      <c r="G216" s="2">
        <v>1578</v>
      </c>
      <c r="H216" s="2">
        <f t="shared" si="21"/>
        <v>0</v>
      </c>
      <c r="I216" s="2">
        <f t="shared" si="22"/>
        <v>0</v>
      </c>
      <c r="J216" s="2">
        <f t="shared" si="23"/>
        <v>0</v>
      </c>
      <c r="K216" s="2">
        <f t="shared" si="24"/>
        <v>0</v>
      </c>
      <c r="L216" s="2">
        <f t="shared" si="25"/>
        <v>0</v>
      </c>
      <c r="M216" s="2">
        <f t="shared" si="26"/>
        <v>0</v>
      </c>
      <c r="N216" s="2">
        <f t="shared" si="27"/>
        <v>0</v>
      </c>
    </row>
    <row r="217" spans="1:14" x14ac:dyDescent="0.3">
      <c r="A217" s="3" t="s">
        <v>24</v>
      </c>
      <c r="B217" s="3">
        <v>5</v>
      </c>
      <c r="C217" s="3" t="s">
        <v>14</v>
      </c>
      <c r="D217" s="4" t="s">
        <v>11</v>
      </c>
      <c r="E217" s="4" t="s">
        <v>11</v>
      </c>
      <c r="F217" s="4" t="s">
        <v>11</v>
      </c>
      <c r="G217" s="2">
        <v>1004</v>
      </c>
      <c r="H217" s="2">
        <f t="shared" si="21"/>
        <v>1</v>
      </c>
      <c r="I217" s="2">
        <f t="shared" si="22"/>
        <v>0</v>
      </c>
      <c r="J217" s="2">
        <f t="shared" si="23"/>
        <v>0</v>
      </c>
      <c r="K217" s="2">
        <f t="shared" si="24"/>
        <v>0</v>
      </c>
      <c r="L217" s="2">
        <f t="shared" si="25"/>
        <v>0</v>
      </c>
      <c r="M217" s="2">
        <f t="shared" si="26"/>
        <v>0</v>
      </c>
      <c r="N217" s="2">
        <f t="shared" si="27"/>
        <v>0</v>
      </c>
    </row>
    <row r="218" spans="1:14" x14ac:dyDescent="0.3">
      <c r="A218" s="3" t="s">
        <v>24</v>
      </c>
      <c r="B218" s="3">
        <v>6</v>
      </c>
      <c r="C218" s="3" t="s">
        <v>8</v>
      </c>
      <c r="D218" s="4" t="s">
        <v>11</v>
      </c>
      <c r="E218" s="4" t="s">
        <v>11</v>
      </c>
      <c r="F218" s="4" t="s">
        <v>11</v>
      </c>
      <c r="G218" s="2">
        <v>742</v>
      </c>
      <c r="H218" s="2">
        <f t="shared" si="21"/>
        <v>0</v>
      </c>
      <c r="I218" s="2">
        <f t="shared" si="22"/>
        <v>1</v>
      </c>
      <c r="J218" s="2">
        <f t="shared" si="23"/>
        <v>0</v>
      </c>
      <c r="K218" s="2">
        <f t="shared" si="24"/>
        <v>0</v>
      </c>
      <c r="L218" s="2">
        <f t="shared" si="25"/>
        <v>0</v>
      </c>
      <c r="M218" s="2">
        <f t="shared" si="26"/>
        <v>0</v>
      </c>
      <c r="N218" s="2">
        <f t="shared" si="27"/>
        <v>0</v>
      </c>
    </row>
    <row r="219" spans="1:14" x14ac:dyDescent="0.3">
      <c r="A219" s="3" t="s">
        <v>24</v>
      </c>
      <c r="B219" s="3">
        <v>7</v>
      </c>
      <c r="C219" s="3" t="s">
        <v>10</v>
      </c>
      <c r="D219" s="4" t="s">
        <v>11</v>
      </c>
      <c r="E219" s="4" t="s">
        <v>11</v>
      </c>
      <c r="F219" s="4" t="s">
        <v>11</v>
      </c>
      <c r="G219" s="2">
        <v>685</v>
      </c>
      <c r="H219" s="2">
        <f t="shared" si="21"/>
        <v>0</v>
      </c>
      <c r="I219" s="2">
        <f t="shared" si="22"/>
        <v>0</v>
      </c>
      <c r="J219" s="2">
        <f t="shared" si="23"/>
        <v>1</v>
      </c>
      <c r="K219" s="2">
        <f t="shared" si="24"/>
        <v>0</v>
      </c>
      <c r="L219" s="2">
        <f t="shared" si="25"/>
        <v>0</v>
      </c>
      <c r="M219" s="2">
        <f t="shared" si="26"/>
        <v>0</v>
      </c>
      <c r="N219" s="2">
        <f t="shared" si="27"/>
        <v>0</v>
      </c>
    </row>
    <row r="220" spans="1:14" x14ac:dyDescent="0.3">
      <c r="A220" s="3" t="s">
        <v>24</v>
      </c>
      <c r="B220" s="3">
        <v>8</v>
      </c>
      <c r="C220" s="3" t="s">
        <v>12</v>
      </c>
      <c r="D220" s="4" t="s">
        <v>11</v>
      </c>
      <c r="E220" s="4" t="s">
        <v>11</v>
      </c>
      <c r="F220" s="4" t="s">
        <v>11</v>
      </c>
      <c r="G220" s="2">
        <v>800</v>
      </c>
      <c r="H220" s="2">
        <f t="shared" si="21"/>
        <v>0</v>
      </c>
      <c r="I220" s="2">
        <f t="shared" si="22"/>
        <v>0</v>
      </c>
      <c r="J220" s="2">
        <f t="shared" si="23"/>
        <v>0</v>
      </c>
      <c r="K220" s="2">
        <f t="shared" si="24"/>
        <v>1</v>
      </c>
      <c r="L220" s="2">
        <f t="shared" si="25"/>
        <v>0</v>
      </c>
      <c r="M220" s="2">
        <f t="shared" si="26"/>
        <v>0</v>
      </c>
      <c r="N220" s="2">
        <f t="shared" si="27"/>
        <v>0</v>
      </c>
    </row>
    <row r="221" spans="1:14" x14ac:dyDescent="0.3">
      <c r="A221" s="3" t="s">
        <v>24</v>
      </c>
      <c r="B221" s="3">
        <v>9</v>
      </c>
      <c r="C221" s="3" t="s">
        <v>13</v>
      </c>
      <c r="D221" s="4" t="s">
        <v>9</v>
      </c>
      <c r="E221" s="4" t="s">
        <v>11</v>
      </c>
      <c r="F221" s="4" t="s">
        <v>11</v>
      </c>
      <c r="G221" s="2">
        <v>1454</v>
      </c>
      <c r="H221" s="2">
        <f t="shared" si="21"/>
        <v>0</v>
      </c>
      <c r="I221" s="2">
        <f t="shared" si="22"/>
        <v>0</v>
      </c>
      <c r="J221" s="2">
        <f t="shared" si="23"/>
        <v>0</v>
      </c>
      <c r="K221" s="2">
        <f t="shared" si="24"/>
        <v>0</v>
      </c>
      <c r="L221" s="2">
        <f t="shared" si="25"/>
        <v>1</v>
      </c>
      <c r="M221" s="2">
        <f t="shared" si="26"/>
        <v>0</v>
      </c>
      <c r="N221" s="2">
        <f t="shared" si="27"/>
        <v>0</v>
      </c>
    </row>
    <row r="222" spans="1:14" x14ac:dyDescent="0.3">
      <c r="A222" s="3" t="s">
        <v>24</v>
      </c>
      <c r="B222" s="3">
        <v>12</v>
      </c>
      <c r="C222" s="3" t="s">
        <v>14</v>
      </c>
      <c r="D222" s="4" t="s">
        <v>11</v>
      </c>
      <c r="E222" s="4" t="s">
        <v>11</v>
      </c>
      <c r="F222" s="4" t="s">
        <v>11</v>
      </c>
      <c r="G222" s="2">
        <v>890</v>
      </c>
      <c r="H222" s="2">
        <f t="shared" si="21"/>
        <v>1</v>
      </c>
      <c r="I222" s="2">
        <f t="shared" si="22"/>
        <v>0</v>
      </c>
      <c r="J222" s="2">
        <f t="shared" si="23"/>
        <v>0</v>
      </c>
      <c r="K222" s="2">
        <f t="shared" si="24"/>
        <v>0</v>
      </c>
      <c r="L222" s="2">
        <f t="shared" si="25"/>
        <v>0</v>
      </c>
      <c r="M222" s="2">
        <f t="shared" si="26"/>
        <v>0</v>
      </c>
      <c r="N222" s="2">
        <f t="shared" si="27"/>
        <v>0</v>
      </c>
    </row>
    <row r="223" spans="1:14" x14ac:dyDescent="0.3">
      <c r="A223" s="3" t="s">
        <v>24</v>
      </c>
      <c r="B223" s="3">
        <v>13</v>
      </c>
      <c r="C223" s="3" t="s">
        <v>8</v>
      </c>
      <c r="D223" s="4" t="s">
        <v>11</v>
      </c>
      <c r="E223" s="4" t="s">
        <v>11</v>
      </c>
      <c r="F223" s="4" t="s">
        <v>11</v>
      </c>
      <c r="G223" s="2">
        <v>693</v>
      </c>
      <c r="H223" s="2">
        <f t="shared" si="21"/>
        <v>0</v>
      </c>
      <c r="I223" s="2">
        <f t="shared" si="22"/>
        <v>1</v>
      </c>
      <c r="J223" s="2">
        <f t="shared" si="23"/>
        <v>0</v>
      </c>
      <c r="K223" s="2">
        <f t="shared" si="24"/>
        <v>0</v>
      </c>
      <c r="L223" s="2">
        <f t="shared" si="25"/>
        <v>0</v>
      </c>
      <c r="M223" s="2">
        <f t="shared" si="26"/>
        <v>0</v>
      </c>
      <c r="N223" s="2">
        <f t="shared" si="27"/>
        <v>0</v>
      </c>
    </row>
    <row r="224" spans="1:14" x14ac:dyDescent="0.3">
      <c r="A224" s="3" t="s">
        <v>24</v>
      </c>
      <c r="B224" s="3">
        <v>14</v>
      </c>
      <c r="C224" s="3" t="s">
        <v>10</v>
      </c>
      <c r="D224" s="4" t="s">
        <v>11</v>
      </c>
      <c r="E224" s="4" t="s">
        <v>11</v>
      </c>
      <c r="F224" s="4" t="s">
        <v>11</v>
      </c>
      <c r="G224" s="2">
        <v>693</v>
      </c>
      <c r="H224" s="2">
        <f t="shared" si="21"/>
        <v>0</v>
      </c>
      <c r="I224" s="2">
        <f t="shared" si="22"/>
        <v>0</v>
      </c>
      <c r="J224" s="2">
        <f t="shared" si="23"/>
        <v>1</v>
      </c>
      <c r="K224" s="2">
        <f t="shared" si="24"/>
        <v>0</v>
      </c>
      <c r="L224" s="2">
        <f t="shared" si="25"/>
        <v>0</v>
      </c>
      <c r="M224" s="2">
        <f t="shared" si="26"/>
        <v>0</v>
      </c>
      <c r="N224" s="2">
        <f t="shared" si="27"/>
        <v>0</v>
      </c>
    </row>
    <row r="225" spans="1:14" x14ac:dyDescent="0.3">
      <c r="A225" s="3" t="s">
        <v>24</v>
      </c>
      <c r="B225" s="3">
        <v>15</v>
      </c>
      <c r="C225" s="3" t="s">
        <v>12</v>
      </c>
      <c r="D225" s="4" t="s">
        <v>11</v>
      </c>
      <c r="E225" s="4" t="s">
        <v>11</v>
      </c>
      <c r="F225" s="4" t="s">
        <v>11</v>
      </c>
      <c r="G225" s="2">
        <v>914</v>
      </c>
      <c r="H225" s="2">
        <f t="shared" si="21"/>
        <v>0</v>
      </c>
      <c r="I225" s="2">
        <f t="shared" si="22"/>
        <v>0</v>
      </c>
      <c r="J225" s="2">
        <f t="shared" si="23"/>
        <v>0</v>
      </c>
      <c r="K225" s="2">
        <f t="shared" si="24"/>
        <v>1</v>
      </c>
      <c r="L225" s="2">
        <f t="shared" si="25"/>
        <v>0</v>
      </c>
      <c r="M225" s="2">
        <f t="shared" si="26"/>
        <v>0</v>
      </c>
      <c r="N225" s="2">
        <f t="shared" si="27"/>
        <v>0</v>
      </c>
    </row>
    <row r="226" spans="1:14" x14ac:dyDescent="0.3">
      <c r="A226" s="3" t="s">
        <v>24</v>
      </c>
      <c r="B226" s="3">
        <v>16</v>
      </c>
      <c r="C226" s="3" t="s">
        <v>13</v>
      </c>
      <c r="D226" s="4" t="s">
        <v>11</v>
      </c>
      <c r="E226" s="4" t="s">
        <v>11</v>
      </c>
      <c r="F226" s="4" t="s">
        <v>11</v>
      </c>
      <c r="G226" s="2">
        <v>1271</v>
      </c>
      <c r="H226" s="2">
        <f t="shared" si="21"/>
        <v>0</v>
      </c>
      <c r="I226" s="2">
        <f t="shared" si="22"/>
        <v>0</v>
      </c>
      <c r="J226" s="2">
        <f t="shared" si="23"/>
        <v>0</v>
      </c>
      <c r="K226" s="2">
        <f t="shared" si="24"/>
        <v>0</v>
      </c>
      <c r="L226" s="2">
        <f t="shared" si="25"/>
        <v>0</v>
      </c>
      <c r="M226" s="2">
        <f t="shared" si="26"/>
        <v>0</v>
      </c>
      <c r="N226" s="2">
        <f t="shared" si="27"/>
        <v>0</v>
      </c>
    </row>
    <row r="227" spans="1:14" x14ac:dyDescent="0.3">
      <c r="A227" s="3" t="s">
        <v>24</v>
      </c>
      <c r="B227" s="3">
        <v>19</v>
      </c>
      <c r="C227" s="3" t="s">
        <v>14</v>
      </c>
      <c r="D227" s="4" t="s">
        <v>11</v>
      </c>
      <c r="E227" s="4" t="s">
        <v>11</v>
      </c>
      <c r="F227" s="4" t="s">
        <v>11</v>
      </c>
      <c r="G227" s="2">
        <v>1031</v>
      </c>
      <c r="H227" s="2">
        <f t="shared" si="21"/>
        <v>1</v>
      </c>
      <c r="I227" s="2">
        <f t="shared" si="22"/>
        <v>0</v>
      </c>
      <c r="J227" s="2">
        <f t="shared" si="23"/>
        <v>0</v>
      </c>
      <c r="K227" s="2">
        <f t="shared" si="24"/>
        <v>0</v>
      </c>
      <c r="L227" s="2">
        <f t="shared" si="25"/>
        <v>0</v>
      </c>
      <c r="M227" s="2">
        <f t="shared" si="26"/>
        <v>0</v>
      </c>
      <c r="N227" s="2">
        <f t="shared" si="27"/>
        <v>0</v>
      </c>
    </row>
    <row r="228" spans="1:14" x14ac:dyDescent="0.3">
      <c r="A228" s="3" t="s">
        <v>24</v>
      </c>
      <c r="B228" s="3">
        <v>20</v>
      </c>
      <c r="C228" s="3" t="s">
        <v>8</v>
      </c>
      <c r="D228" s="4" t="s">
        <v>11</v>
      </c>
      <c r="E228" s="4" t="s">
        <v>11</v>
      </c>
      <c r="F228" s="4" t="s">
        <v>11</v>
      </c>
      <c r="G228" s="2">
        <v>949</v>
      </c>
      <c r="H228" s="2">
        <f t="shared" si="21"/>
        <v>0</v>
      </c>
      <c r="I228" s="2">
        <f t="shared" si="22"/>
        <v>1</v>
      </c>
      <c r="J228" s="2">
        <f t="shared" si="23"/>
        <v>0</v>
      </c>
      <c r="K228" s="2">
        <f t="shared" si="24"/>
        <v>0</v>
      </c>
      <c r="L228" s="2">
        <f t="shared" si="25"/>
        <v>0</v>
      </c>
      <c r="M228" s="2">
        <f t="shared" si="26"/>
        <v>0</v>
      </c>
      <c r="N228" s="2">
        <f t="shared" si="27"/>
        <v>0</v>
      </c>
    </row>
    <row r="229" spans="1:14" x14ac:dyDescent="0.3">
      <c r="A229" s="3" t="s">
        <v>24</v>
      </c>
      <c r="B229" s="3">
        <v>21</v>
      </c>
      <c r="C229" s="3" t="s">
        <v>10</v>
      </c>
      <c r="D229" s="4" t="s">
        <v>11</v>
      </c>
      <c r="E229" s="4" t="s">
        <v>11</v>
      </c>
      <c r="F229" s="4" t="s">
        <v>9</v>
      </c>
      <c r="G229" s="2">
        <v>1356</v>
      </c>
      <c r="H229" s="2">
        <f t="shared" si="21"/>
        <v>0</v>
      </c>
      <c r="I229" s="2">
        <f t="shared" si="22"/>
        <v>0</v>
      </c>
      <c r="J229" s="2">
        <f t="shared" si="23"/>
        <v>1</v>
      </c>
      <c r="K229" s="2">
        <f t="shared" si="24"/>
        <v>0</v>
      </c>
      <c r="L229" s="2">
        <f t="shared" si="25"/>
        <v>0</v>
      </c>
      <c r="M229" s="2">
        <f t="shared" si="26"/>
        <v>0</v>
      </c>
      <c r="N229" s="2">
        <f t="shared" si="27"/>
        <v>1</v>
      </c>
    </row>
    <row r="230" spans="1:14" x14ac:dyDescent="0.3">
      <c r="A230" s="3" t="s">
        <v>24</v>
      </c>
      <c r="B230" s="3">
        <v>23</v>
      </c>
      <c r="C230" s="3" t="s">
        <v>13</v>
      </c>
      <c r="D230" s="4" t="s">
        <v>11</v>
      </c>
      <c r="E230" s="4" t="s">
        <v>11</v>
      </c>
      <c r="F230" s="4" t="s">
        <v>9</v>
      </c>
      <c r="G230" s="2">
        <v>1085</v>
      </c>
      <c r="H230" s="2">
        <f t="shared" si="21"/>
        <v>0</v>
      </c>
      <c r="I230" s="2">
        <f t="shared" si="22"/>
        <v>0</v>
      </c>
      <c r="J230" s="2">
        <f t="shared" si="23"/>
        <v>0</v>
      </c>
      <c r="K230" s="2">
        <f t="shared" si="24"/>
        <v>0</v>
      </c>
      <c r="L230" s="2">
        <f t="shared" si="25"/>
        <v>0</v>
      </c>
      <c r="M230" s="2">
        <f t="shared" si="26"/>
        <v>0</v>
      </c>
      <c r="N230" s="2">
        <f t="shared" si="27"/>
        <v>1</v>
      </c>
    </row>
    <row r="231" spans="1:14" x14ac:dyDescent="0.3">
      <c r="A231" s="3" t="s">
        <v>24</v>
      </c>
      <c r="B231" s="3">
        <v>26</v>
      </c>
      <c r="C231" s="3" t="s">
        <v>14</v>
      </c>
      <c r="D231" s="4" t="s">
        <v>11</v>
      </c>
      <c r="E231" s="4" t="s">
        <v>11</v>
      </c>
      <c r="F231" s="4" t="s">
        <v>11</v>
      </c>
      <c r="G231" s="2">
        <v>1063</v>
      </c>
      <c r="H231" s="2">
        <f t="shared" si="21"/>
        <v>1</v>
      </c>
      <c r="I231" s="2">
        <f t="shared" si="22"/>
        <v>0</v>
      </c>
      <c r="J231" s="2">
        <f t="shared" si="23"/>
        <v>0</v>
      </c>
      <c r="K231" s="2">
        <f t="shared" si="24"/>
        <v>0</v>
      </c>
      <c r="L231" s="2">
        <f t="shared" si="25"/>
        <v>0</v>
      </c>
      <c r="M231" s="2">
        <f t="shared" si="26"/>
        <v>0</v>
      </c>
      <c r="N231" s="2">
        <f t="shared" si="27"/>
        <v>0</v>
      </c>
    </row>
    <row r="232" spans="1:14" x14ac:dyDescent="0.3">
      <c r="A232" s="3" t="s">
        <v>24</v>
      </c>
      <c r="B232" s="3">
        <v>27</v>
      </c>
      <c r="C232" s="3" t="s">
        <v>8</v>
      </c>
      <c r="D232" s="4" t="s">
        <v>11</v>
      </c>
      <c r="E232" s="4" t="s">
        <v>11</v>
      </c>
      <c r="F232" s="4" t="s">
        <v>11</v>
      </c>
      <c r="G232" s="2">
        <v>797</v>
      </c>
      <c r="H232" s="2">
        <f t="shared" si="21"/>
        <v>0</v>
      </c>
      <c r="I232" s="2">
        <f t="shared" si="22"/>
        <v>1</v>
      </c>
      <c r="J232" s="2">
        <f t="shared" si="23"/>
        <v>0</v>
      </c>
      <c r="K232" s="2">
        <f t="shared" si="24"/>
        <v>0</v>
      </c>
      <c r="L232" s="2">
        <f t="shared" si="25"/>
        <v>0</v>
      </c>
      <c r="M232" s="2">
        <f t="shared" si="26"/>
        <v>0</v>
      </c>
      <c r="N232" s="2">
        <f t="shared" si="27"/>
        <v>0</v>
      </c>
    </row>
    <row r="233" spans="1:14" x14ac:dyDescent="0.3">
      <c r="A233" s="3" t="s">
        <v>24</v>
      </c>
      <c r="B233" s="3">
        <v>28</v>
      </c>
      <c r="C233" s="3" t="s">
        <v>10</v>
      </c>
      <c r="D233" s="4" t="s">
        <v>11</v>
      </c>
      <c r="E233" s="4" t="s">
        <v>11</v>
      </c>
      <c r="F233" s="4" t="s">
        <v>11</v>
      </c>
      <c r="G233" s="2">
        <v>632</v>
      </c>
      <c r="H233" s="2">
        <f t="shared" si="21"/>
        <v>0</v>
      </c>
      <c r="I233" s="2">
        <f t="shared" si="22"/>
        <v>0</v>
      </c>
      <c r="J233" s="2">
        <f t="shared" si="23"/>
        <v>1</v>
      </c>
      <c r="K233" s="2">
        <f t="shared" si="24"/>
        <v>0</v>
      </c>
      <c r="L233" s="2">
        <f t="shared" si="25"/>
        <v>0</v>
      </c>
      <c r="M233" s="2">
        <f t="shared" si="26"/>
        <v>0</v>
      </c>
      <c r="N233" s="2">
        <f t="shared" si="27"/>
        <v>0</v>
      </c>
    </row>
    <row r="234" spans="1:14" x14ac:dyDescent="0.3">
      <c r="A234" s="3" t="s">
        <v>24</v>
      </c>
      <c r="B234" s="3">
        <v>29</v>
      </c>
      <c r="C234" s="3" t="s">
        <v>12</v>
      </c>
      <c r="D234" s="4" t="s">
        <v>11</v>
      </c>
      <c r="E234" s="4" t="s">
        <v>11</v>
      </c>
      <c r="F234" s="4" t="s">
        <v>11</v>
      </c>
      <c r="G234" s="2">
        <v>698</v>
      </c>
      <c r="H234" s="2">
        <f t="shared" si="21"/>
        <v>0</v>
      </c>
      <c r="I234" s="2">
        <f t="shared" si="22"/>
        <v>0</v>
      </c>
      <c r="J234" s="2">
        <f t="shared" si="23"/>
        <v>0</v>
      </c>
      <c r="K234" s="2">
        <f t="shared" si="24"/>
        <v>1</v>
      </c>
      <c r="L234" s="2">
        <f t="shared" si="25"/>
        <v>0</v>
      </c>
      <c r="M234" s="2">
        <f t="shared" si="26"/>
        <v>0</v>
      </c>
      <c r="N234" s="2">
        <f t="shared" si="27"/>
        <v>0</v>
      </c>
    </row>
    <row r="235" spans="1:14" x14ac:dyDescent="0.3">
      <c r="A235" s="3" t="s">
        <v>24</v>
      </c>
      <c r="B235" s="3">
        <v>30</v>
      </c>
      <c r="C235" s="3" t="s">
        <v>13</v>
      </c>
      <c r="D235" s="4" t="s">
        <v>11</v>
      </c>
      <c r="E235" s="4" t="s">
        <v>9</v>
      </c>
      <c r="F235" s="4" t="s">
        <v>11</v>
      </c>
      <c r="G235" s="2">
        <v>1691</v>
      </c>
      <c r="H235" s="2">
        <f t="shared" si="21"/>
        <v>0</v>
      </c>
      <c r="I235" s="2">
        <f t="shared" si="22"/>
        <v>0</v>
      </c>
      <c r="J235" s="2">
        <f t="shared" si="23"/>
        <v>0</v>
      </c>
      <c r="K235" s="2">
        <f t="shared" si="24"/>
        <v>0</v>
      </c>
      <c r="L235" s="2">
        <f t="shared" si="25"/>
        <v>0</v>
      </c>
      <c r="M235" s="2">
        <f t="shared" si="26"/>
        <v>1</v>
      </c>
      <c r="N235" s="2">
        <f t="shared" si="27"/>
        <v>0</v>
      </c>
    </row>
    <row r="236" spans="1:14" x14ac:dyDescent="0.3">
      <c r="A236" s="3" t="s">
        <v>25</v>
      </c>
      <c r="B236" s="3">
        <v>3</v>
      </c>
      <c r="C236" s="3" t="s">
        <v>14</v>
      </c>
      <c r="D236" s="4" t="s">
        <v>11</v>
      </c>
      <c r="E236" s="4" t="s">
        <v>11</v>
      </c>
      <c r="F236" s="4" t="s">
        <v>11</v>
      </c>
      <c r="G236" s="2">
        <v>1504</v>
      </c>
      <c r="H236" s="2">
        <f t="shared" si="21"/>
        <v>1</v>
      </c>
      <c r="I236" s="2">
        <f t="shared" si="22"/>
        <v>0</v>
      </c>
      <c r="J236" s="2">
        <f t="shared" si="23"/>
        <v>0</v>
      </c>
      <c r="K236" s="2">
        <f t="shared" si="24"/>
        <v>0</v>
      </c>
      <c r="L236" s="2">
        <f t="shared" si="25"/>
        <v>0</v>
      </c>
      <c r="M236" s="2">
        <f t="shared" si="26"/>
        <v>0</v>
      </c>
      <c r="N236" s="2">
        <f t="shared" si="27"/>
        <v>0</v>
      </c>
    </row>
    <row r="237" spans="1:14" x14ac:dyDescent="0.3">
      <c r="A237" s="3" t="s">
        <v>25</v>
      </c>
      <c r="B237" s="3">
        <v>4</v>
      </c>
      <c r="C237" s="3" t="s">
        <v>8</v>
      </c>
      <c r="D237" s="4" t="s">
        <v>11</v>
      </c>
      <c r="E237" s="4" t="s">
        <v>11</v>
      </c>
      <c r="F237" s="4" t="s">
        <v>11</v>
      </c>
      <c r="G237" s="2">
        <v>828</v>
      </c>
      <c r="H237" s="2">
        <f t="shared" si="21"/>
        <v>0</v>
      </c>
      <c r="I237" s="2">
        <f t="shared" si="22"/>
        <v>1</v>
      </c>
      <c r="J237" s="2">
        <f t="shared" si="23"/>
        <v>0</v>
      </c>
      <c r="K237" s="2">
        <f t="shared" si="24"/>
        <v>0</v>
      </c>
      <c r="L237" s="2">
        <f t="shared" si="25"/>
        <v>0</v>
      </c>
      <c r="M237" s="2">
        <f t="shared" si="26"/>
        <v>0</v>
      </c>
      <c r="N237" s="2">
        <f t="shared" si="27"/>
        <v>0</v>
      </c>
    </row>
    <row r="238" spans="1:14" x14ac:dyDescent="0.3">
      <c r="A238" s="3" t="s">
        <v>25</v>
      </c>
      <c r="B238" s="3">
        <v>5</v>
      </c>
      <c r="C238" s="3" t="s">
        <v>10</v>
      </c>
      <c r="D238" s="4" t="s">
        <v>11</v>
      </c>
      <c r="E238" s="4" t="s">
        <v>11</v>
      </c>
      <c r="F238" s="4" t="s">
        <v>11</v>
      </c>
      <c r="G238" s="2">
        <v>863</v>
      </c>
      <c r="H238" s="2">
        <f t="shared" si="21"/>
        <v>0</v>
      </c>
      <c r="I238" s="2">
        <f t="shared" si="22"/>
        <v>0</v>
      </c>
      <c r="J238" s="2">
        <f t="shared" si="23"/>
        <v>1</v>
      </c>
      <c r="K238" s="2">
        <f t="shared" si="24"/>
        <v>0</v>
      </c>
      <c r="L238" s="2">
        <f t="shared" si="25"/>
        <v>0</v>
      </c>
      <c r="M238" s="2">
        <f t="shared" si="26"/>
        <v>0</v>
      </c>
      <c r="N238" s="2">
        <f t="shared" si="27"/>
        <v>0</v>
      </c>
    </row>
    <row r="239" spans="1:14" x14ac:dyDescent="0.3">
      <c r="A239" s="3" t="s">
        <v>25</v>
      </c>
      <c r="B239" s="3">
        <v>6</v>
      </c>
      <c r="C239" s="3" t="s">
        <v>12</v>
      </c>
      <c r="D239" s="4" t="s">
        <v>11</v>
      </c>
      <c r="E239" s="4" t="s">
        <v>11</v>
      </c>
      <c r="F239" s="4" t="s">
        <v>11</v>
      </c>
      <c r="G239" s="2">
        <v>957</v>
      </c>
      <c r="H239" s="2">
        <f t="shared" si="21"/>
        <v>0</v>
      </c>
      <c r="I239" s="2">
        <f t="shared" si="22"/>
        <v>0</v>
      </c>
      <c r="J239" s="2">
        <f t="shared" si="23"/>
        <v>0</v>
      </c>
      <c r="K239" s="2">
        <f t="shared" si="24"/>
        <v>1</v>
      </c>
      <c r="L239" s="2">
        <f t="shared" si="25"/>
        <v>0</v>
      </c>
      <c r="M239" s="2">
        <f t="shared" si="26"/>
        <v>0</v>
      </c>
      <c r="N239" s="2">
        <f t="shared" si="27"/>
        <v>0</v>
      </c>
    </row>
    <row r="240" spans="1:14" x14ac:dyDescent="0.3">
      <c r="A240" s="3" t="s">
        <v>25</v>
      </c>
      <c r="B240" s="3">
        <v>7</v>
      </c>
      <c r="C240" s="3" t="s">
        <v>13</v>
      </c>
      <c r="D240" s="4" t="s">
        <v>9</v>
      </c>
      <c r="E240" s="4" t="s">
        <v>11</v>
      </c>
      <c r="F240" s="4" t="s">
        <v>11</v>
      </c>
      <c r="G240" s="2">
        <v>1585</v>
      </c>
      <c r="H240" s="2">
        <f t="shared" si="21"/>
        <v>0</v>
      </c>
      <c r="I240" s="2">
        <f t="shared" si="22"/>
        <v>0</v>
      </c>
      <c r="J240" s="2">
        <f t="shared" si="23"/>
        <v>0</v>
      </c>
      <c r="K240" s="2">
        <f t="shared" si="24"/>
        <v>0</v>
      </c>
      <c r="L240" s="2">
        <f t="shared" si="25"/>
        <v>1</v>
      </c>
      <c r="M240" s="2">
        <f t="shared" si="26"/>
        <v>0</v>
      </c>
      <c r="N240" s="2">
        <f t="shared" si="27"/>
        <v>0</v>
      </c>
    </row>
    <row r="241" spans="1:14" x14ac:dyDescent="0.3">
      <c r="A241" s="3" t="s">
        <v>25</v>
      </c>
      <c r="B241" s="3">
        <v>10</v>
      </c>
      <c r="C241" s="3" t="s">
        <v>14</v>
      </c>
      <c r="D241" s="4" t="s">
        <v>11</v>
      </c>
      <c r="E241" s="4" t="s">
        <v>11</v>
      </c>
      <c r="F241" s="4" t="s">
        <v>11</v>
      </c>
      <c r="G241" s="2">
        <v>1126</v>
      </c>
      <c r="H241" s="2">
        <f t="shared" si="21"/>
        <v>1</v>
      </c>
      <c r="I241" s="2">
        <f t="shared" si="22"/>
        <v>0</v>
      </c>
      <c r="J241" s="2">
        <f t="shared" si="23"/>
        <v>0</v>
      </c>
      <c r="K241" s="2">
        <f t="shared" si="24"/>
        <v>0</v>
      </c>
      <c r="L241" s="2">
        <f t="shared" si="25"/>
        <v>0</v>
      </c>
      <c r="M241" s="2">
        <f t="shared" si="26"/>
        <v>0</v>
      </c>
      <c r="N241" s="2">
        <f t="shared" si="27"/>
        <v>0</v>
      </c>
    </row>
    <row r="242" spans="1:14" x14ac:dyDescent="0.3">
      <c r="A242" s="3" t="s">
        <v>25</v>
      </c>
      <c r="B242" s="3">
        <v>11</v>
      </c>
      <c r="C242" s="3" t="s">
        <v>8</v>
      </c>
      <c r="D242" s="4" t="s">
        <v>11</v>
      </c>
      <c r="E242" s="4" t="s">
        <v>11</v>
      </c>
      <c r="F242" s="4" t="s">
        <v>11</v>
      </c>
      <c r="G242" s="2">
        <v>896</v>
      </c>
      <c r="H242" s="2">
        <f t="shared" si="21"/>
        <v>0</v>
      </c>
      <c r="I242" s="2">
        <f t="shared" si="22"/>
        <v>1</v>
      </c>
      <c r="J242" s="2">
        <f t="shared" si="23"/>
        <v>0</v>
      </c>
      <c r="K242" s="2">
        <f t="shared" si="24"/>
        <v>0</v>
      </c>
      <c r="L242" s="2">
        <f t="shared" si="25"/>
        <v>0</v>
      </c>
      <c r="M242" s="2">
        <f t="shared" si="26"/>
        <v>0</v>
      </c>
      <c r="N242" s="2">
        <f t="shared" si="27"/>
        <v>0</v>
      </c>
    </row>
    <row r="243" spans="1:14" x14ac:dyDescent="0.3">
      <c r="A243" s="3" t="s">
        <v>25</v>
      </c>
      <c r="B243" s="3">
        <v>12</v>
      </c>
      <c r="C243" s="3" t="s">
        <v>10</v>
      </c>
      <c r="D243" s="4" t="s">
        <v>11</v>
      </c>
      <c r="E243" s="4" t="s">
        <v>11</v>
      </c>
      <c r="F243" s="4" t="s">
        <v>11</v>
      </c>
      <c r="G243" s="2">
        <v>870</v>
      </c>
      <c r="H243" s="2">
        <f t="shared" si="21"/>
        <v>0</v>
      </c>
      <c r="I243" s="2">
        <f t="shared" si="22"/>
        <v>0</v>
      </c>
      <c r="J243" s="2">
        <f t="shared" si="23"/>
        <v>1</v>
      </c>
      <c r="K243" s="2">
        <f t="shared" si="24"/>
        <v>0</v>
      </c>
      <c r="L243" s="2">
        <f t="shared" si="25"/>
        <v>0</v>
      </c>
      <c r="M243" s="2">
        <f t="shared" si="26"/>
        <v>0</v>
      </c>
      <c r="N243" s="2">
        <f t="shared" si="27"/>
        <v>0</v>
      </c>
    </row>
    <row r="244" spans="1:14" x14ac:dyDescent="0.3">
      <c r="A244" s="3" t="s">
        <v>25</v>
      </c>
      <c r="B244" s="3">
        <v>13</v>
      </c>
      <c r="C244" s="3" t="s">
        <v>12</v>
      </c>
      <c r="D244" s="4" t="s">
        <v>11</v>
      </c>
      <c r="E244" s="4" t="s">
        <v>11</v>
      </c>
      <c r="F244" s="4" t="s">
        <v>11</v>
      </c>
      <c r="G244" s="2">
        <v>873</v>
      </c>
      <c r="H244" s="2">
        <f t="shared" si="21"/>
        <v>0</v>
      </c>
      <c r="I244" s="2">
        <f t="shared" si="22"/>
        <v>0</v>
      </c>
      <c r="J244" s="2">
        <f t="shared" si="23"/>
        <v>0</v>
      </c>
      <c r="K244" s="2">
        <f t="shared" si="24"/>
        <v>1</v>
      </c>
      <c r="L244" s="2">
        <f t="shared" si="25"/>
        <v>0</v>
      </c>
      <c r="M244" s="2">
        <f t="shared" si="26"/>
        <v>0</v>
      </c>
      <c r="N244" s="2">
        <f t="shared" si="27"/>
        <v>0</v>
      </c>
    </row>
    <row r="245" spans="1:14" x14ac:dyDescent="0.3">
      <c r="A245" s="3" t="s">
        <v>25</v>
      </c>
      <c r="B245" s="3">
        <v>14</v>
      </c>
      <c r="C245" s="3" t="s">
        <v>13</v>
      </c>
      <c r="D245" s="4" t="s">
        <v>11</v>
      </c>
      <c r="E245" s="4" t="s">
        <v>11</v>
      </c>
      <c r="F245" s="4" t="s">
        <v>11</v>
      </c>
      <c r="G245" s="2">
        <v>1471</v>
      </c>
      <c r="H245" s="2">
        <f t="shared" si="21"/>
        <v>0</v>
      </c>
      <c r="I245" s="2">
        <f t="shared" si="22"/>
        <v>0</v>
      </c>
      <c r="J245" s="2">
        <f t="shared" si="23"/>
        <v>0</v>
      </c>
      <c r="K245" s="2">
        <f t="shared" si="24"/>
        <v>0</v>
      </c>
      <c r="L245" s="2">
        <f t="shared" si="25"/>
        <v>0</v>
      </c>
      <c r="M245" s="2">
        <f t="shared" si="26"/>
        <v>0</v>
      </c>
      <c r="N245" s="2">
        <f t="shared" si="27"/>
        <v>0</v>
      </c>
    </row>
    <row r="246" spans="1:14" x14ac:dyDescent="0.3">
      <c r="A246" s="3" t="s">
        <v>25</v>
      </c>
      <c r="B246" s="3">
        <v>17</v>
      </c>
      <c r="C246" s="3" t="s">
        <v>14</v>
      </c>
      <c r="D246" s="4" t="s">
        <v>11</v>
      </c>
      <c r="E246" s="4" t="s">
        <v>11</v>
      </c>
      <c r="F246" s="4" t="s">
        <v>11</v>
      </c>
      <c r="G246" s="2">
        <v>1299</v>
      </c>
      <c r="H246" s="2">
        <f t="shared" si="21"/>
        <v>1</v>
      </c>
      <c r="I246" s="2">
        <f t="shared" si="22"/>
        <v>0</v>
      </c>
      <c r="J246" s="2">
        <f t="shared" si="23"/>
        <v>0</v>
      </c>
      <c r="K246" s="2">
        <f t="shared" si="24"/>
        <v>0</v>
      </c>
      <c r="L246" s="2">
        <f t="shared" si="25"/>
        <v>0</v>
      </c>
      <c r="M246" s="2">
        <f t="shared" si="26"/>
        <v>0</v>
      </c>
      <c r="N246" s="2">
        <f t="shared" si="27"/>
        <v>0</v>
      </c>
    </row>
    <row r="247" spans="1:14" x14ac:dyDescent="0.3">
      <c r="A247" s="3" t="s">
        <v>25</v>
      </c>
      <c r="B247" s="3">
        <v>18</v>
      </c>
      <c r="C247" s="3" t="s">
        <v>8</v>
      </c>
      <c r="D247" s="4" t="s">
        <v>11</v>
      </c>
      <c r="E247" s="4" t="s">
        <v>11</v>
      </c>
      <c r="F247" s="4" t="s">
        <v>11</v>
      </c>
      <c r="G247" s="2">
        <v>1058</v>
      </c>
      <c r="H247" s="2">
        <f t="shared" si="21"/>
        <v>0</v>
      </c>
      <c r="I247" s="2">
        <f t="shared" si="22"/>
        <v>1</v>
      </c>
      <c r="J247" s="2">
        <f t="shared" si="23"/>
        <v>0</v>
      </c>
      <c r="K247" s="2">
        <f t="shared" si="24"/>
        <v>0</v>
      </c>
      <c r="L247" s="2">
        <f t="shared" si="25"/>
        <v>0</v>
      </c>
      <c r="M247" s="2">
        <f t="shared" si="26"/>
        <v>0</v>
      </c>
      <c r="N247" s="2">
        <f t="shared" si="27"/>
        <v>0</v>
      </c>
    </row>
    <row r="248" spans="1:14" x14ac:dyDescent="0.3">
      <c r="A248" s="3" t="s">
        <v>25</v>
      </c>
      <c r="B248" s="3">
        <v>19</v>
      </c>
      <c r="C248" s="3" t="s">
        <v>10</v>
      </c>
      <c r="D248" s="4" t="s">
        <v>11</v>
      </c>
      <c r="E248" s="4" t="s">
        <v>11</v>
      </c>
      <c r="F248" s="4" t="s">
        <v>11</v>
      </c>
      <c r="G248" s="2">
        <v>1104</v>
      </c>
      <c r="H248" s="2">
        <f t="shared" si="21"/>
        <v>0</v>
      </c>
      <c r="I248" s="2">
        <f t="shared" si="22"/>
        <v>0</v>
      </c>
      <c r="J248" s="2">
        <f t="shared" si="23"/>
        <v>1</v>
      </c>
      <c r="K248" s="2">
        <f t="shared" si="24"/>
        <v>0</v>
      </c>
      <c r="L248" s="2">
        <f t="shared" si="25"/>
        <v>0</v>
      </c>
      <c r="M248" s="2">
        <f t="shared" si="26"/>
        <v>0</v>
      </c>
      <c r="N248" s="2">
        <f t="shared" si="27"/>
        <v>0</v>
      </c>
    </row>
    <row r="249" spans="1:14" x14ac:dyDescent="0.3">
      <c r="A249" s="3" t="s">
        <v>25</v>
      </c>
      <c r="B249" s="3">
        <v>20</v>
      </c>
      <c r="C249" s="3" t="s">
        <v>12</v>
      </c>
      <c r="D249" s="4" t="s">
        <v>11</v>
      </c>
      <c r="E249" s="4" t="s">
        <v>11</v>
      </c>
      <c r="F249" s="4" t="s">
        <v>11</v>
      </c>
      <c r="G249" s="2">
        <v>1018</v>
      </c>
      <c r="H249" s="2">
        <f t="shared" si="21"/>
        <v>0</v>
      </c>
      <c r="I249" s="2">
        <f t="shared" si="22"/>
        <v>0</v>
      </c>
      <c r="J249" s="2">
        <f t="shared" si="23"/>
        <v>0</v>
      </c>
      <c r="K249" s="2">
        <f t="shared" si="24"/>
        <v>1</v>
      </c>
      <c r="L249" s="2">
        <f t="shared" si="25"/>
        <v>0</v>
      </c>
      <c r="M249" s="2">
        <f t="shared" si="26"/>
        <v>0</v>
      </c>
      <c r="N249" s="2">
        <f t="shared" si="27"/>
        <v>0</v>
      </c>
    </row>
    <row r="250" spans="1:14" x14ac:dyDescent="0.3">
      <c r="A250" s="3" t="s">
        <v>25</v>
      </c>
      <c r="B250" s="3">
        <v>21</v>
      </c>
      <c r="C250" s="3" t="s">
        <v>13</v>
      </c>
      <c r="D250" s="4" t="s">
        <v>9</v>
      </c>
      <c r="E250" s="4" t="s">
        <v>11</v>
      </c>
      <c r="F250" s="4" t="s">
        <v>11</v>
      </c>
      <c r="G250" s="2">
        <v>1955</v>
      </c>
      <c r="H250" s="2">
        <f t="shared" si="21"/>
        <v>0</v>
      </c>
      <c r="I250" s="2">
        <f t="shared" si="22"/>
        <v>0</v>
      </c>
      <c r="J250" s="2">
        <f t="shared" si="23"/>
        <v>0</v>
      </c>
      <c r="K250" s="2">
        <f t="shared" si="24"/>
        <v>0</v>
      </c>
      <c r="L250" s="2">
        <f t="shared" si="25"/>
        <v>1</v>
      </c>
      <c r="M250" s="2">
        <f t="shared" si="26"/>
        <v>0</v>
      </c>
      <c r="N250" s="2">
        <f t="shared" si="27"/>
        <v>0</v>
      </c>
    </row>
    <row r="251" spans="1:14" x14ac:dyDescent="0.3">
      <c r="A251" s="3" t="s">
        <v>25</v>
      </c>
      <c r="B251" s="3">
        <v>24</v>
      </c>
      <c r="C251" s="3" t="s">
        <v>14</v>
      </c>
      <c r="D251" s="4" t="s">
        <v>11</v>
      </c>
      <c r="E251" s="4" t="s">
        <v>11</v>
      </c>
      <c r="F251" s="4" t="s">
        <v>9</v>
      </c>
      <c r="G251" s="2">
        <v>941</v>
      </c>
      <c r="H251" s="2">
        <f t="shared" si="21"/>
        <v>1</v>
      </c>
      <c r="I251" s="2">
        <f t="shared" si="22"/>
        <v>0</v>
      </c>
      <c r="J251" s="2">
        <f t="shared" si="23"/>
        <v>0</v>
      </c>
      <c r="K251" s="2">
        <f t="shared" si="24"/>
        <v>0</v>
      </c>
      <c r="L251" s="2">
        <f t="shared" si="25"/>
        <v>0</v>
      </c>
      <c r="M251" s="2">
        <f t="shared" si="26"/>
        <v>0</v>
      </c>
      <c r="N251" s="2">
        <f t="shared" si="27"/>
        <v>1</v>
      </c>
    </row>
    <row r="252" spans="1:14" x14ac:dyDescent="0.3">
      <c r="A252" s="3" t="s">
        <v>25</v>
      </c>
      <c r="B252" s="3">
        <v>26</v>
      </c>
      <c r="C252" s="3" t="s">
        <v>10</v>
      </c>
      <c r="D252" s="4" t="s">
        <v>11</v>
      </c>
      <c r="E252" s="4" t="s">
        <v>11</v>
      </c>
      <c r="F252" s="4" t="s">
        <v>9</v>
      </c>
      <c r="G252" s="2">
        <v>999</v>
      </c>
      <c r="H252" s="2">
        <f t="shared" si="21"/>
        <v>0</v>
      </c>
      <c r="I252" s="2">
        <f t="shared" si="22"/>
        <v>0</v>
      </c>
      <c r="J252" s="2">
        <f t="shared" si="23"/>
        <v>1</v>
      </c>
      <c r="K252" s="2">
        <f t="shared" si="24"/>
        <v>0</v>
      </c>
      <c r="L252" s="2">
        <f t="shared" si="25"/>
        <v>0</v>
      </c>
      <c r="M252" s="2">
        <f t="shared" si="26"/>
        <v>0</v>
      </c>
      <c r="N252" s="2">
        <f t="shared" si="27"/>
        <v>1</v>
      </c>
    </row>
    <row r="253" spans="1:14" x14ac:dyDescent="0.3">
      <c r="A253" s="3" t="s">
        <v>25</v>
      </c>
      <c r="B253" s="3">
        <v>27</v>
      </c>
      <c r="C253" s="3" t="s">
        <v>12</v>
      </c>
      <c r="D253" s="4" t="s">
        <v>11</v>
      </c>
      <c r="E253" s="4" t="s">
        <v>11</v>
      </c>
      <c r="F253" s="4" t="s">
        <v>11</v>
      </c>
      <c r="G253" s="2">
        <v>619</v>
      </c>
      <c r="H253" s="2">
        <f t="shared" si="21"/>
        <v>0</v>
      </c>
      <c r="I253" s="2">
        <f t="shared" si="22"/>
        <v>0</v>
      </c>
      <c r="J253" s="2">
        <f t="shared" si="23"/>
        <v>0</v>
      </c>
      <c r="K253" s="2">
        <f t="shared" si="24"/>
        <v>1</v>
      </c>
      <c r="L253" s="2">
        <f t="shared" si="25"/>
        <v>0</v>
      </c>
      <c r="M253" s="2">
        <f t="shared" si="26"/>
        <v>0</v>
      </c>
      <c r="N253" s="2">
        <f t="shared" si="27"/>
        <v>0</v>
      </c>
    </row>
    <row r="254" spans="1:14" x14ac:dyDescent="0.3">
      <c r="A254" s="3" t="s">
        <v>25</v>
      </c>
      <c r="B254" s="3">
        <v>28</v>
      </c>
      <c r="C254" s="3" t="s">
        <v>13</v>
      </c>
      <c r="D254" s="4" t="s">
        <v>11</v>
      </c>
      <c r="E254" s="4" t="s">
        <v>11</v>
      </c>
      <c r="F254" s="4" t="s">
        <v>11</v>
      </c>
      <c r="G254" s="2">
        <v>937</v>
      </c>
      <c r="H254" s="2">
        <f t="shared" si="21"/>
        <v>0</v>
      </c>
      <c r="I254" s="2">
        <f t="shared" si="22"/>
        <v>0</v>
      </c>
      <c r="J254" s="2">
        <f t="shared" si="23"/>
        <v>0</v>
      </c>
      <c r="K254" s="2">
        <f t="shared" si="24"/>
        <v>0</v>
      </c>
      <c r="L254" s="2">
        <f t="shared" si="25"/>
        <v>0</v>
      </c>
      <c r="M254" s="2">
        <f t="shared" si="26"/>
        <v>0</v>
      </c>
      <c r="N254" s="2">
        <f t="shared" si="27"/>
        <v>0</v>
      </c>
    </row>
    <row r="255" spans="1:14" x14ac:dyDescent="0.3">
      <c r="A255" s="3" t="s">
        <v>25</v>
      </c>
      <c r="B255" s="3">
        <v>31</v>
      </c>
      <c r="C255" s="3" t="s">
        <v>14</v>
      </c>
      <c r="D255" s="4" t="s">
        <v>11</v>
      </c>
      <c r="E255" s="4" t="s">
        <v>11</v>
      </c>
      <c r="F255" s="4" t="s">
        <v>11</v>
      </c>
      <c r="G255" s="2">
        <v>1146</v>
      </c>
      <c r="H255" s="2">
        <f t="shared" si="21"/>
        <v>1</v>
      </c>
      <c r="I255" s="2">
        <f t="shared" si="22"/>
        <v>0</v>
      </c>
      <c r="J255" s="2">
        <f t="shared" si="23"/>
        <v>0</v>
      </c>
      <c r="K255" s="2">
        <f t="shared" si="24"/>
        <v>0</v>
      </c>
      <c r="L255" s="2">
        <f t="shared" si="25"/>
        <v>0</v>
      </c>
      <c r="M255" s="2">
        <f t="shared" si="26"/>
        <v>0</v>
      </c>
      <c r="N255" s="2">
        <f t="shared" si="27"/>
        <v>0</v>
      </c>
    </row>
  </sheetData>
  <autoFilter ref="A1:G1" xr:uid="{00000000-0001-0000-0000-000000000000}"/>
  <printOptions gridLines="1" gridLinesSet="0"/>
  <pageMargins left="0.5" right="0.5" top="0.5" bottom="0.55000000000000004" header="0.5" footer="0.5"/>
  <pageSetup orientation="portrait" horizontalDpi="4294967292"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40630-2476-0A46-B83A-BE78283EE5FC}">
  <dimension ref="A1:I24"/>
  <sheetViews>
    <sheetView tabSelected="1" topLeftCell="A17" workbookViewId="0">
      <selection activeCell="D46" sqref="D46"/>
    </sheetView>
  </sheetViews>
  <sheetFormatPr defaultColWidth="11.5546875" defaultRowHeight="14.4" x14ac:dyDescent="0.3"/>
  <cols>
    <col min="1" max="1" width="13.77734375" customWidth="1"/>
    <col min="2" max="2" width="14" customWidth="1"/>
    <col min="5" max="5" width="13.33203125" customWidth="1"/>
    <col min="6" max="6" width="13.77734375" customWidth="1"/>
  </cols>
  <sheetData>
    <row r="1" spans="1:9" x14ac:dyDescent="0.3">
      <c r="A1" t="s">
        <v>33</v>
      </c>
    </row>
    <row r="2" spans="1:9" ht="15" thickBot="1" x14ac:dyDescent="0.35"/>
    <row r="3" spans="1:9" x14ac:dyDescent="0.3">
      <c r="A3" s="8" t="s">
        <v>34</v>
      </c>
      <c r="B3" s="8"/>
    </row>
    <row r="4" spans="1:9" x14ac:dyDescent="0.3">
      <c r="A4" t="s">
        <v>35</v>
      </c>
      <c r="B4">
        <v>0.84814304786619177</v>
      </c>
    </row>
    <row r="5" spans="1:9" x14ac:dyDescent="0.3">
      <c r="A5" t="s">
        <v>36</v>
      </c>
      <c r="B5">
        <v>0.71934662964375329</v>
      </c>
    </row>
    <row r="6" spans="1:9" x14ac:dyDescent="0.3">
      <c r="A6" t="s">
        <v>37</v>
      </c>
      <c r="B6">
        <v>0.71136055812955112</v>
      </c>
    </row>
    <row r="7" spans="1:9" x14ac:dyDescent="0.3">
      <c r="A7" t="s">
        <v>38</v>
      </c>
      <c r="B7">
        <v>183.27200823327141</v>
      </c>
    </row>
    <row r="8" spans="1:9" ht="15" thickBot="1" x14ac:dyDescent="0.35">
      <c r="A8" s="6" t="s">
        <v>39</v>
      </c>
      <c r="B8" s="6">
        <v>254</v>
      </c>
    </row>
    <row r="10" spans="1:9" ht="15" thickBot="1" x14ac:dyDescent="0.35">
      <c r="A10" t="s">
        <v>40</v>
      </c>
    </row>
    <row r="11" spans="1:9" x14ac:dyDescent="0.3">
      <c r="A11" s="7"/>
      <c r="B11" s="7" t="s">
        <v>45</v>
      </c>
      <c r="C11" s="7" t="s">
        <v>46</v>
      </c>
      <c r="D11" s="7" t="s">
        <v>47</v>
      </c>
      <c r="E11" s="7" t="s">
        <v>48</v>
      </c>
      <c r="F11" s="7" t="s">
        <v>49</v>
      </c>
    </row>
    <row r="12" spans="1:9" x14ac:dyDescent="0.3">
      <c r="A12" t="s">
        <v>41</v>
      </c>
      <c r="B12">
        <v>7</v>
      </c>
      <c r="C12">
        <v>21178506.749795333</v>
      </c>
      <c r="D12">
        <v>3025500.9642564761</v>
      </c>
      <c r="E12">
        <v>90.075155020148912</v>
      </c>
      <c r="F12">
        <v>3.084724169090352E-64</v>
      </c>
    </row>
    <row r="13" spans="1:9" x14ac:dyDescent="0.3">
      <c r="A13" t="s">
        <v>42</v>
      </c>
      <c r="B13">
        <v>246</v>
      </c>
      <c r="C13">
        <v>8262802.73445665</v>
      </c>
      <c r="D13">
        <v>33588.629001856301</v>
      </c>
    </row>
    <row r="14" spans="1:9" ht="15" thickBot="1" x14ac:dyDescent="0.35">
      <c r="A14" s="6" t="s">
        <v>43</v>
      </c>
      <c r="B14" s="6">
        <v>253</v>
      </c>
      <c r="C14" s="6">
        <v>29441309.484251983</v>
      </c>
      <c r="D14" s="6"/>
      <c r="E14" s="6"/>
      <c r="F14" s="6"/>
    </row>
    <row r="15" spans="1:9" ht="15" thickBot="1" x14ac:dyDescent="0.35"/>
    <row r="16" spans="1:9" x14ac:dyDescent="0.3">
      <c r="A16" s="7"/>
      <c r="B16" s="7" t="s">
        <v>50</v>
      </c>
      <c r="C16" s="7" t="s">
        <v>38</v>
      </c>
      <c r="D16" s="7" t="s">
        <v>51</v>
      </c>
      <c r="E16" s="7" t="s">
        <v>52</v>
      </c>
      <c r="F16" s="7" t="s">
        <v>53</v>
      </c>
      <c r="G16" s="7" t="s">
        <v>54</v>
      </c>
      <c r="H16" s="7" t="s">
        <v>55</v>
      </c>
      <c r="I16" s="7" t="s">
        <v>56</v>
      </c>
    </row>
    <row r="17" spans="1:9" x14ac:dyDescent="0.3">
      <c r="A17" t="s">
        <v>44</v>
      </c>
      <c r="B17">
        <v>1291.3392313267343</v>
      </c>
      <c r="C17">
        <v>33.103192243135361</v>
      </c>
      <c r="D17">
        <v>39.009507658419878</v>
      </c>
      <c r="E17">
        <v>2.4591938130873293E-107</v>
      </c>
      <c r="F17">
        <v>1226.1373904801892</v>
      </c>
      <c r="G17">
        <v>1356.5410721732794</v>
      </c>
      <c r="H17">
        <v>1226.1373904801892</v>
      </c>
      <c r="I17">
        <v>1356.5410721732794</v>
      </c>
    </row>
    <row r="18" spans="1:9" x14ac:dyDescent="0.3">
      <c r="A18" t="s">
        <v>26</v>
      </c>
      <c r="B18">
        <v>-211.11210971859259</v>
      </c>
      <c r="C18">
        <v>41.997508535053015</v>
      </c>
      <c r="D18">
        <v>-5.0267769942207146</v>
      </c>
      <c r="E18">
        <v>9.609435929721299E-7</v>
      </c>
      <c r="F18">
        <v>-293.83267779376956</v>
      </c>
      <c r="G18">
        <v>-128.39154164341562</v>
      </c>
      <c r="H18">
        <v>-293.83267779376956</v>
      </c>
      <c r="I18">
        <v>-128.39154164341562</v>
      </c>
    </row>
    <row r="19" spans="1:9" x14ac:dyDescent="0.3">
      <c r="A19" t="s">
        <v>27</v>
      </c>
      <c r="B19">
        <v>-461.44204733789758</v>
      </c>
      <c r="C19">
        <v>41.425619144611389</v>
      </c>
      <c r="D19">
        <v>-11.139050106337917</v>
      </c>
      <c r="E19">
        <v>1.3329295531449635E-23</v>
      </c>
      <c r="F19">
        <v>-543.03619108687883</v>
      </c>
      <c r="G19">
        <v>-379.84790358891638</v>
      </c>
      <c r="H19">
        <v>-543.03619108687883</v>
      </c>
      <c r="I19">
        <v>-379.84790358891638</v>
      </c>
    </row>
    <row r="20" spans="1:9" x14ac:dyDescent="0.3">
      <c r="A20" t="s">
        <v>28</v>
      </c>
      <c r="B20">
        <v>-479.00833650731425</v>
      </c>
      <c r="C20">
        <v>41.984731027418597</v>
      </c>
      <c r="D20">
        <v>-11.409108139682793</v>
      </c>
      <c r="E20">
        <v>1.7632242257904065E-24</v>
      </c>
      <c r="F20">
        <v>-561.70373731121788</v>
      </c>
      <c r="G20">
        <v>-396.31293570341057</v>
      </c>
      <c r="H20">
        <v>-561.70373731121788</v>
      </c>
      <c r="I20">
        <v>-396.31293570341057</v>
      </c>
    </row>
    <row r="21" spans="1:9" x14ac:dyDescent="0.3">
      <c r="A21" t="s">
        <v>29</v>
      </c>
      <c r="B21">
        <v>-439.67211403466081</v>
      </c>
      <c r="C21">
        <v>41.470905801329202</v>
      </c>
      <c r="D21">
        <v>-10.601941422281852</v>
      </c>
      <c r="E21">
        <v>7.1065540995950786E-22</v>
      </c>
      <c r="F21">
        <v>-521.35545683617147</v>
      </c>
      <c r="G21">
        <v>-357.9887712331502</v>
      </c>
      <c r="H21">
        <v>-521.35545683617147</v>
      </c>
      <c r="I21">
        <v>-357.9887712331502</v>
      </c>
    </row>
    <row r="22" spans="1:9" x14ac:dyDescent="0.3">
      <c r="A22" t="s">
        <v>30</v>
      </c>
      <c r="B22">
        <v>368.50051835446067</v>
      </c>
      <c r="C22">
        <v>48.465664029978726</v>
      </c>
      <c r="D22">
        <v>7.6033316726357549</v>
      </c>
      <c r="E22">
        <v>6.0816219249275389E-13</v>
      </c>
      <c r="F22">
        <v>273.03992079652863</v>
      </c>
      <c r="G22">
        <v>463.9611159123927</v>
      </c>
      <c r="H22">
        <v>273.03992079652863</v>
      </c>
      <c r="I22">
        <v>463.9611159123927</v>
      </c>
    </row>
    <row r="23" spans="1:9" x14ac:dyDescent="0.3">
      <c r="A23" t="s">
        <v>31</v>
      </c>
      <c r="B23">
        <v>368.91629007841726</v>
      </c>
      <c r="C23">
        <v>61.409042402709652</v>
      </c>
      <c r="D23">
        <v>6.0075239027361702</v>
      </c>
      <c r="E23">
        <v>6.7387804228092344E-9</v>
      </c>
      <c r="F23">
        <v>247.96171325477187</v>
      </c>
      <c r="G23">
        <v>489.87086690206263</v>
      </c>
      <c r="H23">
        <v>247.96171325477187</v>
      </c>
      <c r="I23">
        <v>489.87086690206263</v>
      </c>
    </row>
    <row r="24" spans="1:9" ht="15" thickBot="1" x14ac:dyDescent="0.35">
      <c r="A24" s="6" t="s">
        <v>32</v>
      </c>
      <c r="B24" s="6">
        <v>280.72762951451392</v>
      </c>
      <c r="C24" s="6">
        <v>57.553539476267517</v>
      </c>
      <c r="D24" s="6">
        <v>4.8776779337832616</v>
      </c>
      <c r="E24" s="6">
        <v>1.9288219454443661E-6</v>
      </c>
      <c r="F24" s="6">
        <v>167.36706013120533</v>
      </c>
      <c r="G24" s="6">
        <v>394.08819889782251</v>
      </c>
      <c r="H24" s="6">
        <v>167.36706013120533</v>
      </c>
      <c r="I24" s="6">
        <v>394.08819889782251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Regression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Albright</dc:creator>
  <cp:lastModifiedBy>Pratima Kandel</cp:lastModifiedBy>
  <dcterms:created xsi:type="dcterms:W3CDTF">2007-05-15T19:53:23Z</dcterms:created>
  <dcterms:modified xsi:type="dcterms:W3CDTF">2025-05-03T20:46:42Z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aefdf803-868d-4531-b84e-ff4711dd438a</vt:lpwstr>
  </property>
</Properties>
</file>