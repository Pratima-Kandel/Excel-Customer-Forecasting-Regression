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a0914efbc749894/Desktop/"/>
    </mc:Choice>
  </mc:AlternateContent>
  <xr:revisionPtr revIDLastSave="0" documentId="8_{E251E2E6-7CA4-483F-8CDE-70FADED8005D}" xr6:coauthVersionLast="47" xr6:coauthVersionMax="47" xr10:uidLastSave="{00000000-0000-0000-0000-000000000000}"/>
  <bookViews>
    <workbookView xWindow="-108" yWindow="-108" windowWidth="23256" windowHeight="12456" xr2:uid="{ACFD0052-08E0-4B73-A9E7-C7441FD6E818}"/>
  </bookViews>
  <sheets>
    <sheet name="Solution" sheetId="2" r:id="rId1"/>
  </sheets>
  <definedNames>
    <definedName name="_xlcn.WorksheetConnection_05_05_DecisionTreeChallenge.xlsxProbabilities" hidden="1">Probabilities[]</definedName>
  </definedName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babilities" name="Probabilities" connection="WorksheetConnection_05_05_Decision Tree Challenge.xlsx!Probabilitie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4" i="2" l="1"/>
  <c r="P5" i="2"/>
  <c r="P6" i="2"/>
  <c r="P7" i="2"/>
  <c r="P8" i="2"/>
  <c r="P3" i="2"/>
  <c r="O4" i="2"/>
  <c r="Q4" i="2" s="1"/>
  <c r="O5" i="2"/>
  <c r="Q5" i="2" s="1"/>
  <c r="O6" i="2"/>
  <c r="Q6" i="2" s="1"/>
  <c r="O7" i="2"/>
  <c r="Q7" i="2" s="1"/>
  <c r="O8" i="2"/>
  <c r="Q8" i="2" s="1"/>
  <c r="O3" i="2"/>
  <c r="Q3" i="2" s="1"/>
  <c r="Q9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9E03FB-B3B6-455E-A638-7C3DD0772D3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6460D82-9B4F-41FE-88C3-7625E63CF8BE}" name="WorksheetConnection_05_05_Decision Tree Challenge.xlsx!Probabilities" type="102" refreshedVersion="8" minRefreshableVersion="5">
    <extLst>
      <ext xmlns:x15="http://schemas.microsoft.com/office/spreadsheetml/2010/11/main" uri="{DE250136-89BD-433C-8126-D09CA5730AF9}">
        <x15:connection id="Probabilities" autoDelete="1">
          <x15:rangePr sourceName="_xlcn.WorksheetConnection_05_05_DecisionTreeChallenge.xlsxProbabilities"/>
        </x15:connection>
      </ext>
    </extLst>
  </connection>
</connections>
</file>

<file path=xl/sharedStrings.xml><?xml version="1.0" encoding="utf-8"?>
<sst xmlns="http://schemas.openxmlformats.org/spreadsheetml/2006/main" count="11" uniqueCount="6">
  <si>
    <t>Path</t>
  </si>
  <si>
    <t>Payoff</t>
  </si>
  <si>
    <t>Node</t>
  </si>
  <si>
    <t>Probability</t>
  </si>
  <si>
    <t>Sum of Probability</t>
  </si>
  <si>
    <t>Expected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</si>
</sst>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1" fillId="0" borderId="0" xfId="0" applyFont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77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12</xdr:row>
      <xdr:rowOff>85725</xdr:rowOff>
    </xdr:from>
    <xdr:to>
      <xdr:col>19</xdr:col>
      <xdr:colOff>95250</xdr:colOff>
      <xdr:row>32</xdr:row>
      <xdr:rowOff>157908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8521FB-3FBE-7173-AADE-15F379545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8875" y="2390775"/>
          <a:ext cx="7772400" cy="3882183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urtis Frye" refreshedDate="44802.757497106482" backgroundQuery="1" createdVersion="8" refreshedVersion="8" minRefreshableVersion="3" recordCount="0" supportSubquery="1" supportAdvancedDrill="1" xr:uid="{8703D8EB-D9D3-4A0C-AB5B-7401BCE7B7EE}">
  <cacheSource type="external" connectionId="1"/>
  <cacheFields count="3">
    <cacheField name="[Probabilities].[Path].[Path]" caption="Path" numFmtId="0" level="1">
      <sharedItems containsSemiMixedTypes="0" containsString="0" containsNumber="1" containsInteger="1" minValue="1" maxValue="6" count="6">
        <n v="1"/>
        <n v="2"/>
        <n v="3"/>
        <n v="4"/>
        <n v="5"/>
        <n v="6"/>
      </sharedItems>
      <extLst>
        <ext xmlns:x15="http://schemas.microsoft.com/office/spreadsheetml/2010/11/main" uri="{4F2E5C28-24EA-4eb8-9CBF-B6C8F9C3D259}">
          <x15:cachedUniqueNames>
            <x15:cachedUniqueName index="0" name="[Probabilities].[Path].&amp;[1]"/>
            <x15:cachedUniqueName index="1" name="[Probabilities].[Path].&amp;[2]"/>
            <x15:cachedUniqueName index="2" name="[Probabilities].[Path].&amp;[3]"/>
            <x15:cachedUniqueName index="3" name="[Probabilities].[Path].&amp;[4]"/>
            <x15:cachedUniqueName index="4" name="[Probabilities].[Path].&amp;[5]"/>
            <x15:cachedUniqueName index="5" name="[Probabilities].[Path].&amp;[6]"/>
          </x15:cachedUniqueNames>
        </ext>
      </extLst>
    </cacheField>
    <cacheField name="[Probabilities].[Node].[Node]" caption="Node" numFmtId="0" hierarchy="1" level="1">
      <sharedItems containsSemiMixedTypes="0" containsString="0" containsNumber="1" containsInteger="1" minValue="1" maxValue="9" count="9">
        <n v="1"/>
        <n v="2"/>
        <n v="3"/>
        <n v="4"/>
        <n v="5"/>
        <n v="6"/>
        <n v="7"/>
        <n v="8"/>
        <n v="9"/>
      </sharedItems>
      <extLst>
        <ext xmlns:x15="http://schemas.microsoft.com/office/spreadsheetml/2010/11/main" uri="{4F2E5C28-24EA-4eb8-9CBF-B6C8F9C3D259}">
          <x15:cachedUniqueNames>
            <x15:cachedUniqueName index="0" name="[Probabilities].[Node].&amp;[1]"/>
            <x15:cachedUniqueName index="1" name="[Probabilities].[Node].&amp;[2]"/>
            <x15:cachedUniqueName index="2" name="[Probabilities].[Node].&amp;[3]"/>
            <x15:cachedUniqueName index="3" name="[Probabilities].[Node].&amp;[4]"/>
            <x15:cachedUniqueName index="4" name="[Probabilities].[Node].&amp;[5]"/>
            <x15:cachedUniqueName index="5" name="[Probabilities].[Node].&amp;[6]"/>
            <x15:cachedUniqueName index="6" name="[Probabilities].[Node].&amp;[7]"/>
            <x15:cachedUniqueName index="7" name="[Probabilities].[Node].&amp;[8]"/>
            <x15:cachedUniqueName index="8" name="[Probabilities].[Node].&amp;[9]"/>
          </x15:cachedUniqueNames>
        </ext>
      </extLst>
    </cacheField>
    <cacheField name="[Measures].[Sum of Probability]" caption="Sum of Probability" numFmtId="0" hierarchy="5" level="32767"/>
  </cacheFields>
  <cacheHierarchies count="6">
    <cacheHierarchy uniqueName="[Probabilities].[Path]" caption="Path" attribute="1" defaultMemberUniqueName="[Probabilities].[Path].[All]" allUniqueName="[Probabilities].[Path].[All]" dimensionUniqueName="[Probabilities]" displayFolder="" count="2" memberValueDatatype="20" unbalanced="0">
      <fieldsUsage count="2">
        <fieldUsage x="-1"/>
        <fieldUsage x="0"/>
      </fieldsUsage>
    </cacheHierarchy>
    <cacheHierarchy uniqueName="[Probabilities].[Node]" caption="Node" attribute="1" defaultMemberUniqueName="[Probabilities].[Node].[All]" allUniqueName="[Probabilities].[Node].[All]" dimensionUniqueName="[Probabilities]" displayFolder="" count="2" memberValueDatatype="20" unbalanced="0">
      <fieldsUsage count="2">
        <fieldUsage x="-1"/>
        <fieldUsage x="1"/>
      </fieldsUsage>
    </cacheHierarchy>
    <cacheHierarchy uniqueName="[Probabilities].[Probability]" caption="Probability" attribute="1" defaultMemberUniqueName="[Probabilities].[Probability].[All]" allUniqueName="[Probabilities].[Probability].[All]" dimensionUniqueName="[Probabilities]" displayFolder="" count="0" memberValueDatatype="5" unbalanced="0"/>
    <cacheHierarchy uniqueName="[Measures].[__XL_Count Probabilities]" caption="__XL_Count Probabilities" measure="1" displayFolder="" measureGroup="Probabilities" count="0" hidden="1"/>
    <cacheHierarchy uniqueName="[Measures].[__No measures defined]" caption="__No measures defined" measure="1" displayFolder="" count="0" hidden="1"/>
    <cacheHierarchy uniqueName="[Measures].[Sum of Probability]" caption="Sum of Probability" measure="1" displayFolder="" measureGroup="Probabiliti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Probabilities" uniqueName="[Probabilities]" caption="Probabilities"/>
  </dimensions>
  <measureGroups count="1">
    <measureGroup name="Probabilities" caption="Probabilitie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7C7196-82D4-4190-8C25-9D3C24EB7111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E1:N8" firstHeaderRow="1" firstDataRow="2" firstDataCol="1"/>
  <pivotFields count="3">
    <pivotField axis="axisRow" compact="0" allDrilled="1" outline="0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Col" compact="0" allDrilled="1" outline="0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compact="0" outline="0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1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colItems>
  <dataFields count="1">
    <dataField name="Sum of Probability" fld="2" baseField="0" baseItem="0"/>
  </dataFields>
  <pivotHierarchies count="6"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05_05_Decision Tree Challenge.xlsx!Probabilities">
        <x15:activeTabTopLevelEntity name="[Probabiliti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741B0E-F9C8-4598-86E6-622AECEB11EA}" name="Probabilities" displayName="Probabilities" ref="A1:C14" totalsRowShown="0">
  <autoFilter ref="A1:C14" xr:uid="{9A741B0E-F9C8-4598-86E6-622AECEB11EA}"/>
  <tableColumns count="3">
    <tableColumn id="1" xr3:uid="{6F9A397C-18FB-48F2-A87E-F6301607E823}" name="Path"/>
    <tableColumn id="2" xr3:uid="{1DC3C456-460C-4EBF-93EA-4FD5E6D59013}" name="Node"/>
    <tableColumn id="3" xr3:uid="{0281A7C4-F8F0-4F56-8D2B-7F2D293F5B13}" name="Probability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9F0B87-1E78-422F-9F0E-FDCAD2B80037}" name="Payoffs" displayName="Payoffs" ref="A16:B22" totalsRowShown="0">
  <autoFilter ref="A16:B22" xr:uid="{779F0B87-1E78-422F-9F0E-FDCAD2B80037}"/>
  <tableColumns count="2">
    <tableColumn id="1" xr3:uid="{FFB6A4A9-F1D0-4656-9CFC-D2A3AD0C8443}" name="Path"/>
    <tableColumn id="2" xr3:uid="{C8B1DAC6-327A-4EDB-B4DA-773044536A57}" name="Payoff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AE331-F78F-494B-BF2D-B551C242DE48}">
  <dimension ref="A1:Q22"/>
  <sheetViews>
    <sheetView tabSelected="1" workbookViewId="0">
      <selection activeCell="A2" sqref="A2"/>
    </sheetView>
  </sheetViews>
  <sheetFormatPr defaultRowHeight="14.4" x14ac:dyDescent="0.3"/>
  <cols>
    <col min="3" max="3" width="12.88671875" customWidth="1"/>
    <col min="5" max="5" width="17.5546875" bestFit="1" customWidth="1"/>
    <col min="6" max="6" width="8.109375" bestFit="1" customWidth="1"/>
    <col min="7" max="14" width="4" bestFit="1" customWidth="1"/>
    <col min="15" max="15" width="11.33203125" bestFit="1" customWidth="1"/>
    <col min="17" max="17" width="14.88671875" bestFit="1" customWidth="1"/>
  </cols>
  <sheetData>
    <row r="1" spans="1:17" x14ac:dyDescent="0.3">
      <c r="A1" t="s">
        <v>0</v>
      </c>
      <c r="B1" t="s">
        <v>2</v>
      </c>
      <c r="C1" t="s">
        <v>3</v>
      </c>
      <c r="E1" s="1" t="s">
        <v>4</v>
      </c>
      <c r="F1" s="1" t="s">
        <v>2</v>
      </c>
    </row>
    <row r="2" spans="1:17" x14ac:dyDescent="0.3">
      <c r="A2">
        <v>1</v>
      </c>
      <c r="B2">
        <v>1</v>
      </c>
      <c r="C2">
        <v>0.3</v>
      </c>
      <c r="E2" s="1" t="s">
        <v>0</v>
      </c>
      <c r="F2">
        <v>1</v>
      </c>
      <c r="G2">
        <v>2</v>
      </c>
      <c r="H2">
        <v>3</v>
      </c>
      <c r="I2">
        <v>4</v>
      </c>
      <c r="J2">
        <v>5</v>
      </c>
      <c r="K2">
        <v>6</v>
      </c>
      <c r="L2">
        <v>7</v>
      </c>
      <c r="M2">
        <v>8</v>
      </c>
      <c r="N2">
        <v>9</v>
      </c>
      <c r="O2" s="2" t="s">
        <v>3</v>
      </c>
      <c r="P2" s="2" t="s">
        <v>1</v>
      </c>
      <c r="Q2" s="2" t="s">
        <v>5</v>
      </c>
    </row>
    <row r="3" spans="1:17" x14ac:dyDescent="0.3">
      <c r="A3">
        <v>1</v>
      </c>
      <c r="B3">
        <v>4</v>
      </c>
      <c r="C3">
        <v>0.4</v>
      </c>
      <c r="E3">
        <v>1</v>
      </c>
      <c r="F3">
        <v>0.3</v>
      </c>
      <c r="I3">
        <v>0.4</v>
      </c>
      <c r="O3">
        <f>PRODUCT(F3:N3)</f>
        <v>0.12</v>
      </c>
      <c r="P3">
        <f>VLOOKUP(E3,Payoffs[],2)</f>
        <v>-2500</v>
      </c>
      <c r="Q3">
        <f t="shared" ref="Q3:Q8" si="0">O3*P3</f>
        <v>-300</v>
      </c>
    </row>
    <row r="4" spans="1:17" x14ac:dyDescent="0.3">
      <c r="A4">
        <v>2</v>
      </c>
      <c r="B4">
        <v>1</v>
      </c>
      <c r="C4">
        <v>0.3</v>
      </c>
      <c r="E4">
        <v>2</v>
      </c>
      <c r="F4">
        <v>0.3</v>
      </c>
      <c r="J4">
        <v>0.6</v>
      </c>
      <c r="O4">
        <f t="shared" ref="O4:O8" si="1">PRODUCT(F4:N4)</f>
        <v>0.18</v>
      </c>
      <c r="P4">
        <f>VLOOKUP(E4,Payoffs[],2)</f>
        <v>-500</v>
      </c>
      <c r="Q4">
        <f t="shared" si="0"/>
        <v>-90</v>
      </c>
    </row>
    <row r="5" spans="1:17" x14ac:dyDescent="0.3">
      <c r="A5">
        <v>2</v>
      </c>
      <c r="B5">
        <v>5</v>
      </c>
      <c r="C5">
        <v>0.6</v>
      </c>
      <c r="E5">
        <v>3</v>
      </c>
      <c r="G5">
        <v>0.2</v>
      </c>
      <c r="O5">
        <f t="shared" si="1"/>
        <v>0.2</v>
      </c>
      <c r="P5">
        <f>VLOOKUP(E5,Payoffs[],2)</f>
        <v>2500</v>
      </c>
      <c r="Q5">
        <f t="shared" si="0"/>
        <v>500</v>
      </c>
    </row>
    <row r="6" spans="1:17" x14ac:dyDescent="0.3">
      <c r="A6">
        <v>3</v>
      </c>
      <c r="B6">
        <v>2</v>
      </c>
      <c r="C6">
        <v>0.2</v>
      </c>
      <c r="E6">
        <v>4</v>
      </c>
      <c r="H6">
        <v>0.5</v>
      </c>
      <c r="K6">
        <v>0.3</v>
      </c>
      <c r="M6">
        <v>0.2</v>
      </c>
      <c r="O6">
        <f t="shared" si="1"/>
        <v>0.03</v>
      </c>
      <c r="P6">
        <f>VLOOKUP(E6,Payoffs[],2)</f>
        <v>1000</v>
      </c>
      <c r="Q6">
        <f t="shared" si="0"/>
        <v>30</v>
      </c>
    </row>
    <row r="7" spans="1:17" x14ac:dyDescent="0.3">
      <c r="A7">
        <v>4</v>
      </c>
      <c r="B7">
        <v>3</v>
      </c>
      <c r="C7">
        <v>0.5</v>
      </c>
      <c r="E7">
        <v>5</v>
      </c>
      <c r="H7">
        <v>0.5</v>
      </c>
      <c r="K7">
        <v>0.3</v>
      </c>
      <c r="N7">
        <v>0.8</v>
      </c>
      <c r="O7">
        <f t="shared" si="1"/>
        <v>0.12</v>
      </c>
      <c r="P7">
        <f>VLOOKUP(E7,Payoffs[],2)</f>
        <v>3000</v>
      </c>
      <c r="Q7">
        <f t="shared" si="0"/>
        <v>360</v>
      </c>
    </row>
    <row r="8" spans="1:17" ht="15" thickBot="1" x14ac:dyDescent="0.35">
      <c r="A8">
        <v>4</v>
      </c>
      <c r="B8">
        <v>6</v>
      </c>
      <c r="C8">
        <v>0.3</v>
      </c>
      <c r="E8">
        <v>6</v>
      </c>
      <c r="H8">
        <v>0.5</v>
      </c>
      <c r="L8">
        <v>0.7</v>
      </c>
      <c r="O8">
        <f t="shared" si="1"/>
        <v>0.35</v>
      </c>
      <c r="P8">
        <f>VLOOKUP(E8,Payoffs[],2)</f>
        <v>-1500</v>
      </c>
      <c r="Q8">
        <f t="shared" si="0"/>
        <v>-525</v>
      </c>
    </row>
    <row r="9" spans="1:17" ht="15" thickBot="1" x14ac:dyDescent="0.35">
      <c r="A9">
        <v>4</v>
      </c>
      <c r="B9">
        <v>8</v>
      </c>
      <c r="C9">
        <v>0.2</v>
      </c>
      <c r="Q9" s="3">
        <f>SUM(Q3:Q8)</f>
        <v>-25</v>
      </c>
    </row>
    <row r="10" spans="1:17" x14ac:dyDescent="0.3">
      <c r="A10">
        <v>5</v>
      </c>
      <c r="B10">
        <v>3</v>
      </c>
      <c r="C10">
        <v>0.5</v>
      </c>
    </row>
    <row r="11" spans="1:17" x14ac:dyDescent="0.3">
      <c r="A11">
        <v>5</v>
      </c>
      <c r="B11">
        <v>6</v>
      </c>
      <c r="C11">
        <v>0.3</v>
      </c>
    </row>
    <row r="12" spans="1:17" x14ac:dyDescent="0.3">
      <c r="A12">
        <v>5</v>
      </c>
      <c r="B12">
        <v>9</v>
      </c>
      <c r="C12">
        <v>0.8</v>
      </c>
    </row>
    <row r="13" spans="1:17" x14ac:dyDescent="0.3">
      <c r="A13">
        <v>6</v>
      </c>
      <c r="B13">
        <v>3</v>
      </c>
      <c r="C13">
        <v>0.5</v>
      </c>
    </row>
    <row r="14" spans="1:17" x14ac:dyDescent="0.3">
      <c r="A14">
        <v>6</v>
      </c>
      <c r="B14">
        <v>7</v>
      </c>
      <c r="C14">
        <v>0.7</v>
      </c>
    </row>
    <row r="16" spans="1:17" x14ac:dyDescent="0.3">
      <c r="A16" t="s">
        <v>0</v>
      </c>
      <c r="B16" t="s">
        <v>1</v>
      </c>
    </row>
    <row r="17" spans="1:2" x14ac:dyDescent="0.3">
      <c r="A17">
        <v>1</v>
      </c>
      <c r="B17">
        <v>-2500</v>
      </c>
    </row>
    <row r="18" spans="1:2" x14ac:dyDescent="0.3">
      <c r="A18">
        <v>2</v>
      </c>
      <c r="B18">
        <v>-500</v>
      </c>
    </row>
    <row r="19" spans="1:2" x14ac:dyDescent="0.3">
      <c r="A19">
        <v>3</v>
      </c>
      <c r="B19">
        <v>2500</v>
      </c>
    </row>
    <row r="20" spans="1:2" x14ac:dyDescent="0.3">
      <c r="A20">
        <v>4</v>
      </c>
      <c r="B20">
        <v>1000</v>
      </c>
    </row>
    <row r="21" spans="1:2" x14ac:dyDescent="0.3">
      <c r="A21">
        <v>5</v>
      </c>
      <c r="B21">
        <v>3000</v>
      </c>
    </row>
    <row r="22" spans="1:2" x14ac:dyDescent="0.3">
      <c r="A22">
        <v>6</v>
      </c>
      <c r="B22">
        <v>-1500</v>
      </c>
    </row>
  </sheetData>
  <pageMargins left="0.7" right="0.7" top="0.75" bottom="0.75" header="0.3" footer="0.3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Curtis Frye</dc:creator>
  <cp:lastModifiedBy>Pratima Kandel</cp:lastModifiedBy>
  <dcterms:created xsi:type="dcterms:W3CDTF">2022-08-30T00:21:26Z</dcterms:created>
  <dcterms:modified xsi:type="dcterms:W3CDTF">2025-05-10T21:11:37Z</dcterms:modified>
</cp:coreProperties>
</file>