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0914efbc749894/Desktop/"/>
    </mc:Choice>
  </mc:AlternateContent>
  <xr:revisionPtr revIDLastSave="0" documentId="8_{33CACD52-63E4-4322-B8BC-46721BB4C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Sheet1!$D$2:$D$13,Sheet1!$H$2:$I$3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Sheet1!$D$2:$D$13</definedName>
    <definedName name="solver_lhs2" localSheetId="0" hidden="1">Sheet1!$D$2:$D$13</definedName>
    <definedName name="solver_lhs3" localSheetId="0" hidden="1">Sheet1!$D$2:$D$13</definedName>
    <definedName name="solver_lhs4" localSheetId="0" hidden="1">Sheet1!$H$2:$H$3</definedName>
    <definedName name="solver_lhs5" localSheetId="0" hidden="1">Sheet1!$H$2:$H$3</definedName>
    <definedName name="solver_lhs6" localSheetId="0" hidden="1">Sheet1!$H$2:$I$3</definedName>
    <definedName name="solver_lhs7" localSheetId="0" hidden="1">Sheet1!$I$2:$I$3</definedName>
    <definedName name="solver_lhs8" localSheetId="0" hidden="1">Sheet1!$I$2:$I$3</definedName>
    <definedName name="solver_lhs9" localSheetId="0" hidden="1">Sheet1!$I$2:$I$4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Sheet1!$H$6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4</definedName>
    <definedName name="solver_rel7" localSheetId="0" hidden="1">1</definedName>
    <definedName name="solver_rel8" localSheetId="0" hidden="1">3</definedName>
    <definedName name="solver_rel9" localSheetId="0" hidden="1">3</definedName>
    <definedName name="solver_rhs1" localSheetId="0" hidden="1">2</definedName>
    <definedName name="solver_rhs2" localSheetId="0" hidden="1">"integer"</definedName>
    <definedName name="solver_rhs3" localSheetId="0" hidden="1">1</definedName>
    <definedName name="solver_rhs4" localSheetId="0" hidden="1">Sheet1!$L$3</definedName>
    <definedName name="solver_rhs5" localSheetId="0" hidden="1">Sheet1!$L$2</definedName>
    <definedName name="solver_rhs6" localSheetId="0" hidden="1">"integer"</definedName>
    <definedName name="solver_rhs7" localSheetId="0" hidden="1">Sheet1!$M$3</definedName>
    <definedName name="solver_rhs8" localSheetId="0" hidden="1">Sheet1!$M$2</definedName>
    <definedName name="solver_rhs9" localSheetId="0" hidden="1">Sheet1!$M$2</definedName>
    <definedName name="solver_rlx" localSheetId="0" hidden="1">2</definedName>
    <definedName name="solver_rsd" localSheetId="0" hidden="1">8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H7" i="1"/>
  <c r="E3" i="1"/>
  <c r="E4" i="1"/>
  <c r="E5" i="1"/>
  <c r="E6" i="1"/>
  <c r="E7" i="1"/>
  <c r="E8" i="1"/>
  <c r="E9" i="1"/>
  <c r="E10" i="1"/>
  <c r="E11" i="1"/>
  <c r="E12" i="1"/>
  <c r="E13" i="1"/>
  <c r="E2" i="1"/>
  <c r="H6" i="1" l="1"/>
</calcChain>
</file>

<file path=xl/sharedStrings.xml><?xml version="1.0" encoding="utf-8"?>
<sst xmlns="http://schemas.openxmlformats.org/spreadsheetml/2006/main" count="15" uniqueCount="15">
  <si>
    <t>StoreID</t>
  </si>
  <si>
    <t>StoreXCoord</t>
  </si>
  <si>
    <t>StoreYCoord</t>
  </si>
  <si>
    <t>DepotAssigned</t>
  </si>
  <si>
    <t>DepotDistance</t>
  </si>
  <si>
    <t>DepotID</t>
  </si>
  <si>
    <t>DepotXCoord</t>
  </si>
  <si>
    <t>DepotYCoord</t>
  </si>
  <si>
    <t>X</t>
  </si>
  <si>
    <t>Y</t>
  </si>
  <si>
    <t>Min</t>
  </si>
  <si>
    <t>Max</t>
  </si>
  <si>
    <t>Total Distance</t>
  </si>
  <si>
    <t>Depot 1</t>
  </si>
  <si>
    <t>Depot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</si>
</sst>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23</c:v>
                </c:pt>
                <c:pt idx="1">
                  <c:v>24</c:v>
                </c:pt>
                <c:pt idx="2">
                  <c:v>8</c:v>
                </c:pt>
                <c:pt idx="3">
                  <c:v>27</c:v>
                </c:pt>
                <c:pt idx="4">
                  <c:v>4</c:v>
                </c:pt>
                <c:pt idx="5">
                  <c:v>28</c:v>
                </c:pt>
                <c:pt idx="6">
                  <c:v>29</c:v>
                </c:pt>
                <c:pt idx="7">
                  <c:v>49</c:v>
                </c:pt>
                <c:pt idx="8">
                  <c:v>16</c:v>
                </c:pt>
                <c:pt idx="9">
                  <c:v>11</c:v>
                </c:pt>
                <c:pt idx="10">
                  <c:v>39</c:v>
                </c:pt>
                <c:pt idx="11">
                  <c:v>14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48</c:v>
                </c:pt>
                <c:pt idx="1">
                  <c:v>15</c:v>
                </c:pt>
                <c:pt idx="2">
                  <c:v>44</c:v>
                </c:pt>
                <c:pt idx="3">
                  <c:v>10</c:v>
                </c:pt>
                <c:pt idx="4">
                  <c:v>2</c:v>
                </c:pt>
                <c:pt idx="5">
                  <c:v>12</c:v>
                </c:pt>
                <c:pt idx="6">
                  <c:v>46</c:v>
                </c:pt>
                <c:pt idx="7">
                  <c:v>37</c:v>
                </c:pt>
                <c:pt idx="8">
                  <c:v>30</c:v>
                </c:pt>
                <c:pt idx="9">
                  <c:v>47</c:v>
                </c:pt>
                <c:pt idx="10">
                  <c:v>9</c:v>
                </c:pt>
                <c:pt idx="1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C-43A1-A0F0-BD89FE610BBA}"/>
            </c:ext>
          </c:extLst>
        </c:ser>
        <c:ser>
          <c:idx val="1"/>
          <c:order val="1"/>
          <c:tx>
            <c:v>Depots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27</c:v>
                </c:pt>
                <c:pt idx="1">
                  <c:v>22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10</c:v>
                </c:pt>
                <c:pt idx="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C-43A1-A0F0-BD89FE610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696624"/>
        <c:axId val="557700888"/>
      </c:scatterChart>
      <c:valAx>
        <c:axId val="55769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00888"/>
        <c:crosses val="autoZero"/>
        <c:crossBetween val="midCat"/>
      </c:valAx>
      <c:valAx>
        <c:axId val="55770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9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144234</xdr:colOff>
      <xdr:row>10</xdr:row>
      <xdr:rowOff>24493</xdr:rowOff>
    </xdr:from>
    <xdr:to>
      <xdr:col>13</xdr:col>
      <xdr:colOff>54428</xdr:colOff>
      <xdr:row>27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AD532-5A29-D5B7-94AC-086293EFB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I25" sqref="I25"/>
    </sheetView>
  </sheetViews>
  <sheetFormatPr defaultRowHeight="14.4" x14ac:dyDescent="0.3"/>
  <cols>
    <col min="2" max="2" width="12.109375" bestFit="1" customWidth="1"/>
    <col min="3" max="3" width="12" bestFit="1" customWidth="1"/>
    <col min="4" max="4" width="14.5546875" bestFit="1" customWidth="1"/>
    <col min="5" max="5" width="14.109375" bestFit="1" customWidth="1"/>
    <col min="6" max="6" width="12.88671875" bestFit="1" customWidth="1"/>
    <col min="7" max="7" width="13.5546875" bestFit="1" customWidth="1"/>
    <col min="8" max="11" width="12.88671875" bestFit="1" customWidth="1"/>
    <col min="16" max="17" width="12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L1" s="1" t="s">
        <v>8</v>
      </c>
      <c r="M1" s="1" t="s">
        <v>9</v>
      </c>
    </row>
    <row r="2" spans="1:13" x14ac:dyDescent="0.3">
      <c r="A2">
        <v>1</v>
      </c>
      <c r="B2">
        <v>23</v>
      </c>
      <c r="C2">
        <v>48</v>
      </c>
      <c r="D2" s="3">
        <v>2</v>
      </c>
      <c r="E2">
        <f>SQRT((B2-VLOOKUP(D2,$G$2:$I$4,2))^2+(C2-VLOOKUP(D2,$G$2:$I$4,3))^2)</f>
        <v>3.1622776601683795</v>
      </c>
      <c r="G2">
        <v>1</v>
      </c>
      <c r="H2" s="3">
        <v>27</v>
      </c>
      <c r="I2" s="3">
        <v>10</v>
      </c>
      <c r="K2" s="2" t="s">
        <v>10</v>
      </c>
      <c r="L2">
        <v>0</v>
      </c>
      <c r="M2">
        <v>0</v>
      </c>
    </row>
    <row r="3" spans="1:13" x14ac:dyDescent="0.3">
      <c r="A3">
        <v>2</v>
      </c>
      <c r="B3">
        <v>24</v>
      </c>
      <c r="C3">
        <v>15</v>
      </c>
      <c r="D3" s="3">
        <v>1</v>
      </c>
      <c r="E3">
        <f t="shared" ref="E3:E13" si="0">SQRT((B3-VLOOKUP(D3,$G$2:$I$4,2))^2+(C3-VLOOKUP(D3,$G$2:$I$4,3))^2)</f>
        <v>5.8309518948453007</v>
      </c>
      <c r="G3">
        <v>2</v>
      </c>
      <c r="H3" s="3">
        <v>22</v>
      </c>
      <c r="I3" s="3">
        <v>45</v>
      </c>
      <c r="K3" s="2" t="s">
        <v>11</v>
      </c>
      <c r="L3">
        <v>50</v>
      </c>
      <c r="M3">
        <v>50</v>
      </c>
    </row>
    <row r="4" spans="1:13" x14ac:dyDescent="0.3">
      <c r="A4">
        <v>3</v>
      </c>
      <c r="B4">
        <v>8</v>
      </c>
      <c r="C4">
        <v>44</v>
      </c>
      <c r="D4" s="3">
        <v>2</v>
      </c>
      <c r="E4">
        <f t="shared" si="0"/>
        <v>14.035668847618199</v>
      </c>
    </row>
    <row r="5" spans="1:13" x14ac:dyDescent="0.3">
      <c r="A5">
        <v>4</v>
      </c>
      <c r="B5">
        <v>27</v>
      </c>
      <c r="C5">
        <v>10</v>
      </c>
      <c r="D5" s="3">
        <v>1</v>
      </c>
      <c r="E5">
        <f t="shared" si="0"/>
        <v>0</v>
      </c>
    </row>
    <row r="6" spans="1:13" x14ac:dyDescent="0.3">
      <c r="A6">
        <v>5</v>
      </c>
      <c r="B6">
        <v>4</v>
      </c>
      <c r="C6">
        <v>2</v>
      </c>
      <c r="D6" s="3">
        <v>1</v>
      </c>
      <c r="E6">
        <f t="shared" si="0"/>
        <v>24.351591323771842</v>
      </c>
      <c r="G6" s="2" t="s">
        <v>12</v>
      </c>
      <c r="H6" s="4">
        <f>SUM(E2:E13)</f>
        <v>139.48964760659493</v>
      </c>
    </row>
    <row r="7" spans="1:13" x14ac:dyDescent="0.3">
      <c r="A7">
        <v>6</v>
      </c>
      <c r="B7">
        <v>28</v>
      </c>
      <c r="C7">
        <v>12</v>
      </c>
      <c r="D7" s="3">
        <v>1</v>
      </c>
      <c r="E7">
        <f t="shared" si="0"/>
        <v>2.2360679774997898</v>
      </c>
      <c r="G7" s="2" t="s">
        <v>13</v>
      </c>
      <c r="H7">
        <f>COUNTIF($D$2:$D$13,"1")</f>
        <v>6</v>
      </c>
    </row>
    <row r="8" spans="1:13" x14ac:dyDescent="0.3">
      <c r="A8">
        <v>7</v>
      </c>
      <c r="B8">
        <v>29</v>
      </c>
      <c r="C8">
        <v>46</v>
      </c>
      <c r="D8" s="3">
        <v>2</v>
      </c>
      <c r="E8">
        <f t="shared" si="0"/>
        <v>7.0710678118654755</v>
      </c>
      <c r="G8" s="2" t="s">
        <v>14</v>
      </c>
      <c r="H8">
        <f>COUNTIF($D$2:$D$13,"2")</f>
        <v>6</v>
      </c>
    </row>
    <row r="9" spans="1:13" x14ac:dyDescent="0.3">
      <c r="A9">
        <v>8</v>
      </c>
      <c r="B9">
        <v>49</v>
      </c>
      <c r="C9">
        <v>37</v>
      </c>
      <c r="D9" s="3">
        <v>2</v>
      </c>
      <c r="E9">
        <f t="shared" si="0"/>
        <v>28.160255680657446</v>
      </c>
    </row>
    <row r="10" spans="1:13" x14ac:dyDescent="0.3">
      <c r="A10">
        <v>9</v>
      </c>
      <c r="B10">
        <v>16</v>
      </c>
      <c r="C10">
        <v>30</v>
      </c>
      <c r="D10" s="3">
        <v>2</v>
      </c>
      <c r="E10">
        <f t="shared" si="0"/>
        <v>16.15549442140351</v>
      </c>
    </row>
    <row r="11" spans="1:13" x14ac:dyDescent="0.3">
      <c r="A11">
        <v>10</v>
      </c>
      <c r="B11">
        <v>11</v>
      </c>
      <c r="C11">
        <v>47</v>
      </c>
      <c r="D11" s="3">
        <v>2</v>
      </c>
      <c r="E11">
        <f t="shared" si="0"/>
        <v>11.180339887498949</v>
      </c>
    </row>
    <row r="12" spans="1:13" x14ac:dyDescent="0.3">
      <c r="A12">
        <v>11</v>
      </c>
      <c r="B12">
        <v>39</v>
      </c>
      <c r="C12">
        <v>9</v>
      </c>
      <c r="D12" s="3">
        <v>1</v>
      </c>
      <c r="E12">
        <f t="shared" si="0"/>
        <v>12.041594578792296</v>
      </c>
    </row>
    <row r="13" spans="1:13" x14ac:dyDescent="0.3">
      <c r="A13">
        <v>12</v>
      </c>
      <c r="B13">
        <v>14</v>
      </c>
      <c r="C13">
        <v>2</v>
      </c>
      <c r="D13" s="3">
        <v>1</v>
      </c>
      <c r="E13">
        <f t="shared" si="0"/>
        <v>15.264337522473747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Pratima Kandel</cp:lastModifiedBy>
  <dcterms:created xsi:type="dcterms:W3CDTF">2017-04-07T01:41:46Z</dcterms:created>
  <dcterms:modified xsi:type="dcterms:W3CDTF">2025-05-10T20:12:19Z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